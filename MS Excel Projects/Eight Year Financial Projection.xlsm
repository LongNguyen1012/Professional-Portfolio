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Eight-Year Financial Projection" sheetId="1" r:id="rId1"/>
    <sheet name="3-D Cylinder Chart" sheetId="4" r:id="rId2"/>
    <sheet name="Sheet2" sheetId="2" r:id="rId3"/>
    <sheet name="Sheet3" sheetId="3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B11" i="1" l="1"/>
  <c r="C17" i="1"/>
  <c r="D17" i="1" s="1"/>
  <c r="E17" i="1" s="1"/>
  <c r="F17" i="1" s="1"/>
  <c r="G17" i="1" s="1"/>
  <c r="H17" i="1" s="1"/>
  <c r="I17" i="1" s="1"/>
  <c r="B19" i="1"/>
  <c r="I9" i="1"/>
  <c r="C11" i="1" l="1"/>
  <c r="B12" i="1"/>
  <c r="B13" i="1"/>
  <c r="B15" i="1"/>
  <c r="B18" i="1"/>
  <c r="B20" i="1" l="1"/>
  <c r="B22" i="1" s="1"/>
  <c r="C19" i="1"/>
  <c r="C18" i="1"/>
  <c r="C15" i="1"/>
  <c r="C20" i="1" s="1"/>
  <c r="C12" i="1"/>
  <c r="C13" i="1" s="1"/>
  <c r="C22" i="1" s="1"/>
  <c r="D11" i="1"/>
  <c r="C24" i="1" l="1"/>
  <c r="C23" i="1"/>
  <c r="B24" i="1"/>
  <c r="B23" i="1"/>
  <c r="E11" i="1"/>
  <c r="D19" i="1"/>
  <c r="D18" i="1"/>
  <c r="D15" i="1"/>
  <c r="D13" i="1"/>
  <c r="D12" i="1"/>
  <c r="D22" i="1" l="1"/>
  <c r="F11" i="1"/>
  <c r="E19" i="1"/>
  <c r="E18" i="1"/>
  <c r="E15" i="1"/>
  <c r="E20" i="1" s="1"/>
  <c r="E12" i="1"/>
  <c r="E13" i="1" s="1"/>
  <c r="E22" i="1" s="1"/>
  <c r="D20" i="1"/>
  <c r="E24" i="1" l="1"/>
  <c r="E23" i="1"/>
  <c r="D24" i="1"/>
  <c r="D23" i="1"/>
  <c r="G11" i="1"/>
  <c r="F19" i="1"/>
  <c r="F18" i="1"/>
  <c r="F15" i="1"/>
  <c r="F13" i="1"/>
  <c r="F12" i="1"/>
  <c r="F22" i="1" l="1"/>
  <c r="H11" i="1"/>
  <c r="G19" i="1"/>
  <c r="G18" i="1"/>
  <c r="G15" i="1"/>
  <c r="G20" i="1" s="1"/>
  <c r="G12" i="1"/>
  <c r="G13" i="1" s="1"/>
  <c r="G22" i="1" s="1"/>
  <c r="F20" i="1"/>
  <c r="G24" i="1" l="1"/>
  <c r="G23" i="1"/>
  <c r="F24" i="1"/>
  <c r="F23" i="1"/>
  <c r="I11" i="1"/>
  <c r="H19" i="1"/>
  <c r="H18" i="1"/>
  <c r="H15" i="1"/>
  <c r="H13" i="1"/>
  <c r="H12" i="1"/>
  <c r="I19" i="1" l="1"/>
  <c r="I18" i="1"/>
  <c r="I15" i="1"/>
  <c r="I13" i="1"/>
  <c r="I12" i="1"/>
  <c r="H20" i="1"/>
  <c r="H22" i="1" s="1"/>
  <c r="H24" i="1" l="1"/>
  <c r="H23" i="1"/>
  <c r="I22" i="1"/>
  <c r="I20" i="1"/>
  <c r="I24" i="1" l="1"/>
  <c r="I23" i="1"/>
</calcChain>
</file>

<file path=xl/sharedStrings.xml><?xml version="1.0" encoding="utf-8"?>
<sst xmlns="http://schemas.openxmlformats.org/spreadsheetml/2006/main" count="29" uniqueCount="29">
  <si>
    <t>Salioto Auto Parts</t>
  </si>
  <si>
    <t>Eight-year Financial Projection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</si>
  <si>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</si>
  <si>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</si>
  <si>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</si>
  <si>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</si>
  <si>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</si>
  <si>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</si>
  <si>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</si>
  <si>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</si>
  <si>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Sales</t>
  </si>
  <si>
    <t>Expenses</t>
  </si>
  <si>
    <t>Advertising</t>
  </si>
  <si>
    <t>Maintenance</t>
  </si>
  <si>
    <t>Rent</t>
  </si>
  <si>
    <t>Salaries</t>
  </si>
  <si>
    <t>Supplies</t>
  </si>
  <si>
    <t>Cost of Goods</t>
  </si>
  <si>
    <t>Gross Margin</t>
  </si>
  <si>
    <t>Total Expenses</t>
  </si>
  <si>
    <t>Operating Income</t>
  </si>
  <si>
    <t>Income Taxes</t>
  </si>
  <si>
    <t>Net Income</t>
  </si>
  <si>
    <t>Assumptions</t>
  </si>
  <si>
    <t>Unit Sold In Prior year</t>
  </si>
  <si>
    <t>Unit Cost</t>
  </si>
  <si>
    <t>Annual Sales Growth</t>
  </si>
  <si>
    <t>Annual Price Decrease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</si>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</sst>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0_);\(0\)"/>
  </numFmts>
  <fonts count="8" x14ac:knownFonts="1">
    <font>
      <sz val="11"/>
      <color theme="1"/>
      <name val="Book Antiqua"/>
      <family val="2"/>
      <scheme val="minor"/>
    </font>
    <font>
      <b/>
      <sz val="11"/>
      <color theme="1"/>
      <name val="Book Antiqua"/>
      <family val="1"/>
      <scheme val="minor"/>
    </font>
    <font>
      <b/>
      <sz val="36"/>
      <color theme="1"/>
      <name val="Algerian"/>
      <family val="5"/>
    </font>
    <font>
      <b/>
      <sz val="20"/>
      <color theme="1"/>
      <name val="Rockwell"/>
      <family val="1"/>
    </font>
    <font>
      <b/>
      <sz val="14"/>
      <color theme="1"/>
      <name val="Book Antiqua"/>
      <family val="1"/>
      <scheme val="minor"/>
    </font>
    <font>
      <b/>
      <sz val="14"/>
      <color theme="1"/>
      <name val="Rockwell"/>
      <family val="1"/>
    </font>
    <font>
      <b/>
      <u/>
      <sz val="14"/>
      <color theme="1"/>
      <name val="Rockwell"/>
      <family val="1"/>
    </font>
    <font>
      <sz val="11"/>
      <color theme="1"/>
      <name val="Book Antiqu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2" borderId="0" xfId="0" applyFont="1" applyFill="1"/>
    <xf numFmtId="0" fontId="5" fillId="2" borderId="0" xfId="0" applyFont="1" applyFill="1"/>
    <xf numFmtId="165" fontId="1" fillId="0" borderId="0" xfId="0" applyNumberFormat="1" applyFont="1"/>
    <xf numFmtId="0" fontId="4" fillId="0" borderId="1" xfId="0" applyFont="1" applyBorder="1" applyAlignment="1">
      <alignment horizontal="center" vertical="center" textRotation="45"/>
    </xf>
    <xf numFmtId="0" fontId="2" fillId="2" borderId="0" xfId="0" applyFont="1" applyFill="1"/>
    <xf numFmtId="0" fontId="6" fillId="2" borderId="0" xfId="0" applyFont="1" applyFill="1"/>
    <xf numFmtId="3" fontId="1" fillId="2" borderId="0" xfId="0" applyNumberFormat="1" applyFont="1" applyFill="1"/>
    <xf numFmtId="10" fontId="1" fillId="2" borderId="0" xfId="0" applyNumberFormat="1" applyFont="1" applyFill="1"/>
    <xf numFmtId="0" fontId="3" fillId="2" borderId="0" xfId="0" applyFont="1" applyFill="1"/>
    <xf numFmtId="164" fontId="1" fillId="2" borderId="0" xfId="0" applyNumberFormat="1" applyFont="1" applyFill="1"/>
    <xf numFmtId="37" fontId="1" fillId="0" borderId="0" xfId="1" applyNumberFormat="1" applyFont="1" applyAlignment="1">
      <alignment horizontal="right"/>
    </xf>
    <xf numFmtId="37" fontId="1" fillId="0" borderId="1" xfId="1" applyNumberFormat="1" applyFont="1" applyBorder="1" applyAlignment="1">
      <alignment horizontal="right"/>
    </xf>
    <xf numFmtId="37" fontId="1" fillId="2" borderId="0" xfId="0" applyNumberFormat="1" applyFont="1" applyFill="1"/>
    <xf numFmtId="37" fontId="1" fillId="0" borderId="0" xfId="0" applyNumberFormat="1" applyFont="1"/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/>
            </a:pPr>
            <a:r>
              <a:rPr lang="en-US" sz="3200">
                <a:solidFill>
                  <a:srgbClr val="00B050"/>
                </a:solidFill>
              </a:rPr>
              <a:t>Eight-Year Net Income Projection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  <c:spPr>
        <a:solidFill>
          <a:srgbClr val="00B050"/>
        </a:solidFill>
      </c:spPr>
    </c:floor>
    <c:sideWall>
      <c:thickness val="0"/>
      <c:spPr>
        <a:solidFill>
          <a:srgbClr val="00B050"/>
        </a:solidFill>
      </c:spPr>
    </c:sideWall>
    <c:backWall>
      <c:thickness val="0"/>
      <c:spPr>
        <a:solidFill>
          <a:srgbClr val="00B050"/>
        </a:solidFill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cat>
            <c:strRef>
              <c:f>'Eight-Year Financial Projection'!$B$10:$I$10</c:f>
              <c:strCache>
                <c:ptCount val="8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</c:strCache>
            </c:strRef>
          </c:cat>
          <c:val>
            <c:numRef>
              <c:f>'Eight-Year Financial Projection'!$B$24:$I$24</c:f>
              <c:numCache>
                <c:formatCode>#,##0_);\(#,##0\)</c:formatCode>
                <c:ptCount val="8"/>
                <c:pt idx="0">
                  <c:v>1628308.7456790179</c:v>
                </c:pt>
                <c:pt idx="1">
                  <c:v>-1097439.4736381471</c:v>
                </c:pt>
                <c:pt idx="2">
                  <c:v>11565.19465265572</c:v>
                </c:pt>
                <c:pt idx="3">
                  <c:v>-982707.69507580996</c:v>
                </c:pt>
                <c:pt idx="4">
                  <c:v>806844.8814919889</c:v>
                </c:pt>
                <c:pt idx="5">
                  <c:v>269739.49103487434</c:v>
                </c:pt>
                <c:pt idx="6">
                  <c:v>230701.59235334693</c:v>
                </c:pt>
                <c:pt idx="7">
                  <c:v>-527936.99296982586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723494176"/>
        <c:axId val="723493056"/>
        <c:axId val="0"/>
      </c:bar3DChart>
      <c:catAx>
        <c:axId val="7234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493056"/>
        <c:crosses val="autoZero"/>
        <c:auto val="1"/>
        <c:lblAlgn val="ctr"/>
        <c:lblOffset val="100"/>
        <c:noMultiLvlLbl val="0"/>
      </c:catAx>
      <c:valAx>
        <c:axId val="723493056"/>
        <c:scaling>
          <c:orientation val="minMax"/>
        </c:scaling>
        <c:delete val="0"/>
        <c:axPos val="l"/>
        <c:majorGridlines/>
        <c:numFmt formatCode="#,##0_);\(#,##0\)" sourceLinked="1"/>
        <c:majorTickMark val="out"/>
        <c:minorTickMark val="none"/>
        <c:tickLblPos val="nextTo"/>
        <c:crossAx val="723494176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rgb="FF00B050"/>
  </sheetPr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pex">
  <a:themeElements>
    <a:clrScheme name="Apex">
      <a:dk1>
        <a:sysClr val="windowText" lastClr="000000"/>
      </a:dk1>
      <a:lt1>
        <a:sysClr val="window" lastClr="FFFFFF"/>
      </a:lt1>
      <a:dk2>
        <a:srgbClr val="69676D"/>
      </a:dk2>
      <a:lt2>
        <a:srgbClr val="C9C2D1"/>
      </a:lt2>
      <a:accent1>
        <a:srgbClr val="CEB966"/>
      </a:accent1>
      <a:accent2>
        <a:srgbClr val="9CB084"/>
      </a:accent2>
      <a:accent3>
        <a:srgbClr val="6BB1C9"/>
      </a:accent3>
      <a:accent4>
        <a:srgbClr val="6585CF"/>
      </a:accent4>
      <a:accent5>
        <a:srgbClr val="7E6BC9"/>
      </a:accent5>
      <a:accent6>
        <a:srgbClr val="A379BB"/>
      </a:accent6>
      <a:hlink>
        <a:srgbClr val="410082"/>
      </a:hlink>
      <a:folHlink>
        <a:srgbClr val="932968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黑体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pex">
      <a:fillStyleLst>
        <a:solidFill>
          <a:schemeClr val="phClr"/>
        </a:solidFill>
        <a:gradFill rotWithShape="1">
          <a:gsLst>
            <a:gs pos="20000">
              <a:schemeClr val="phClr">
                <a:tint val="9000"/>
              </a:schemeClr>
            </a:gs>
            <a:gs pos="100000">
              <a:schemeClr val="phClr">
                <a:tint val="70000"/>
                <a:satMod val="100000"/>
              </a:schemeClr>
            </a:gs>
          </a:gsLst>
          <a:path path="circle">
            <a:fillToRect l="-15000" t="-15000" r="115000" b="115000"/>
          </a:path>
        </a:gradFill>
        <a:gradFill rotWithShape="1">
          <a:gsLst>
            <a:gs pos="0">
              <a:schemeClr val="phClr">
                <a:shade val="60000"/>
              </a:schemeClr>
            </a:gs>
            <a:gs pos="33000">
              <a:schemeClr val="phClr">
                <a:tint val="86500"/>
              </a:schemeClr>
            </a:gs>
            <a:gs pos="46750">
              <a:schemeClr val="phClr">
                <a:tint val="71000"/>
                <a:satMod val="112000"/>
              </a:schemeClr>
            </a:gs>
            <a:gs pos="53000">
              <a:schemeClr val="phClr">
                <a:tint val="71000"/>
                <a:satMod val="112000"/>
              </a:schemeClr>
            </a:gs>
            <a:gs pos="68000">
              <a:schemeClr val="phClr">
                <a:tint val="86000"/>
              </a:schemeClr>
            </a:gs>
            <a:gs pos="100000">
              <a:schemeClr val="phClr">
                <a:shade val="60000"/>
              </a:schemeClr>
            </a:gs>
          </a:gsLst>
          <a:lin ang="8350000" scaled="1"/>
        </a:gradFill>
      </a:fillStyleLst>
      <a:lnStyleLst>
        <a:ln w="9525" cap="flat" cmpd="sng" algn="ctr">
          <a:solidFill>
            <a:schemeClr val="phClr">
              <a:shade val="48000"/>
              <a:satMod val="11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130000" dist="101600" dir="2700000" algn="tl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100000"/>
            </a:lightRig>
          </a:scene3d>
          <a:sp3d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180000"/>
              </a:schemeClr>
            </a:gs>
            <a:gs pos="100000">
              <a:schemeClr val="phClr">
                <a:shade val="45000"/>
                <a:satMod val="120000"/>
              </a:schemeClr>
            </a:gs>
          </a:gsLst>
          <a:path path="circle">
            <a:fillToRect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"/>
                <a:satMod val="110000"/>
              </a:schemeClr>
              <a:schemeClr val="phClr">
                <a:tint val="60000"/>
                <a:satMod val="425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24"/>
  <sheetViews>
    <sheetView tabSelected="1" workbookViewId="0">
      <selection activeCell="D20" sqref="D20"/>
    </sheetView>
  </sheetViews>
  <sheetFormatPr defaultRowHeight="15" x14ac:dyDescent="0.25"/>
  <cols>
    <col min="1" max="1" width="25.625" style="1" customWidth="1"/>
    <col min="2" max="9" width="15.625" style="1" customWidth="1"/>
    <col min="10" max="16384" width="9" style="1"/>
  </cols>
  <sheetData>
    <row r="1" spans="1:9" ht="18.75" x14ac:dyDescent="0.3">
      <c r="A1" s="8" t="s">
        <v>23</v>
      </c>
      <c r="B1" s="3"/>
    </row>
    <row r="2" spans="1:9" x14ac:dyDescent="0.25">
      <c r="A2" s="3" t="s">
        <v>24</v>
      </c>
      <c r="B2" s="9">
        <v>11459713</v>
      </c>
    </row>
    <row r="3" spans="1:9" x14ac:dyDescent="0.25">
      <c r="A3" s="3" t="s">
        <v>25</v>
      </c>
      <c r="B3" s="3">
        <v>13.4</v>
      </c>
    </row>
    <row r="4" spans="1:9" x14ac:dyDescent="0.25">
      <c r="A4" s="3" t="s">
        <v>26</v>
      </c>
      <c r="B4" s="10">
        <v>4.4999999999999998E-2</v>
      </c>
    </row>
    <row r="5" spans="1:9" x14ac:dyDescent="0.25">
      <c r="A5" s="3" t="s">
        <v>27</v>
      </c>
      <c r="B5" s="10">
        <v>4.2500000000000003E-2</v>
      </c>
    </row>
    <row r="6" spans="1:9" x14ac:dyDescent="0.25">
      <c r="A6" s="3" t="s">
        <v>28</v>
      </c>
      <c r="B6" s="10">
        <v>0.39250000000000002</v>
      </c>
    </row>
    <row r="7" spans="1:9" ht="42" customHeight="1" x14ac:dyDescent="0.25"/>
    <row r="8" spans="1:9" ht="51" x14ac:dyDescent="0.8">
      <c r="A8" s="7" t="s">
        <v>0</v>
      </c>
      <c r="B8" s="3"/>
      <c r="C8" s="3"/>
      <c r="D8" s="3"/>
      <c r="E8" s="3"/>
      <c r="F8" s="3"/>
      <c r="G8" s="3"/>
      <c r="H8" s="3"/>
      <c r="I8" s="3"/>
    </row>
    <row r="9" spans="1:9" ht="26.25" x14ac:dyDescent="0.4">
      <c r="A9" s="11" t="s">
        <v>1</v>
      </c>
      <c r="B9" s="3"/>
      <c r="C9" s="3"/>
      <c r="D9" s="3"/>
      <c r="E9" s="3"/>
      <c r="F9" s="3"/>
      <c r="G9" s="3"/>
      <c r="H9" s="3"/>
      <c r="I9" s="12">
        <f ca="1">NOW()</f>
        <v>42298.022441319445</v>
      </c>
    </row>
    <row r="10" spans="1:9" ht="42" customHeight="1" thickBot="1" x14ac:dyDescent="0.3">
      <c r="B10" s="6" t="s">
        <v>2</v>
      </c>
      <c r="C10" s="6" t="s">
        <v>3</v>
      </c>
      <c r="D10" s="6" t="s">
        <v>4</v>
      </c>
      <c r="E10" s="6" t="s">
        <v>5</v>
      </c>
      <c r="F10" s="6" t="s">
        <v>6</v>
      </c>
      <c r="G10" s="6" t="s">
        <v>7</v>
      </c>
      <c r="H10" s="6" t="s">
        <v>8</v>
      </c>
      <c r="I10" s="6" t="s">
        <v>9</v>
      </c>
    </row>
    <row r="11" spans="1:9" x14ac:dyDescent="0.25">
      <c r="A11" s="1" t="s">
        <v>10</v>
      </c>
      <c r="B11" s="13">
        <f>B2*(B3/(1-B6))</f>
        <v>252773916.37860087</v>
      </c>
      <c r="C11" s="13">
        <f>B11*(1+$B$4)*(1-$B$5)</f>
        <v>252922421.05447328</v>
      </c>
      <c r="D11" s="13">
        <f t="shared" ref="D11:I11" si="0">C11*(1+$B$4)*(1-$B$5)</f>
        <v>253071012.97684279</v>
      </c>
      <c r="E11" s="13">
        <f t="shared" si="0"/>
        <v>253219692.19696668</v>
      </c>
      <c r="F11" s="13">
        <f t="shared" si="0"/>
        <v>253368458.76613238</v>
      </c>
      <c r="G11" s="13">
        <f t="shared" si="0"/>
        <v>253517312.73565748</v>
      </c>
      <c r="H11" s="13">
        <f t="shared" si="0"/>
        <v>253666254.15688965</v>
      </c>
      <c r="I11" s="13">
        <f t="shared" si="0"/>
        <v>253815283.08120683</v>
      </c>
    </row>
    <row r="12" spans="1:9" ht="15.75" thickBot="1" x14ac:dyDescent="0.3">
      <c r="A12" s="2" t="s">
        <v>17</v>
      </c>
      <c r="B12" s="14">
        <f>B11*(1-$B$6)</f>
        <v>153560154.20000002</v>
      </c>
      <c r="C12" s="14">
        <f t="shared" ref="C12:I12" si="1">C11*(1-$B$6)</f>
        <v>153650370.79059249</v>
      </c>
      <c r="D12" s="14">
        <f t="shared" si="1"/>
        <v>153740640.38343197</v>
      </c>
      <c r="E12" s="14">
        <f t="shared" si="1"/>
        <v>153830963.00965723</v>
      </c>
      <c r="F12" s="14">
        <f t="shared" si="1"/>
        <v>153921338.70042542</v>
      </c>
      <c r="G12" s="14">
        <f t="shared" si="1"/>
        <v>154011767.48691189</v>
      </c>
      <c r="H12" s="14">
        <f t="shared" si="1"/>
        <v>154102249.40031046</v>
      </c>
      <c r="I12" s="14">
        <f t="shared" si="1"/>
        <v>154192784.47183314</v>
      </c>
    </row>
    <row r="13" spans="1:9" x14ac:dyDescent="0.25">
      <c r="A13" s="1" t="s">
        <v>18</v>
      </c>
      <c r="B13" s="13">
        <f>B11-B12</f>
        <v>99213762.178600848</v>
      </c>
      <c r="C13" s="13">
        <f t="shared" ref="C13:I13" si="2">C11-C12</f>
        <v>99272050.263880789</v>
      </c>
      <c r="D13" s="13">
        <f t="shared" si="2"/>
        <v>99330372.59341082</v>
      </c>
      <c r="E13" s="13">
        <f t="shared" si="2"/>
        <v>99388729.187309444</v>
      </c>
      <c r="F13" s="13">
        <f t="shared" si="2"/>
        <v>99447120.065706968</v>
      </c>
      <c r="G13" s="13">
        <f t="shared" si="2"/>
        <v>99505545.24874559</v>
      </c>
      <c r="H13" s="13">
        <f t="shared" si="2"/>
        <v>99564004.75657919</v>
      </c>
      <c r="I13" s="13">
        <f t="shared" si="2"/>
        <v>99622498.609373689</v>
      </c>
    </row>
    <row r="14" spans="1:9" ht="18.75" x14ac:dyDescent="0.3">
      <c r="A14" s="4" t="s">
        <v>11</v>
      </c>
      <c r="B14" s="13"/>
      <c r="C14" s="13"/>
      <c r="D14" s="13"/>
      <c r="E14" s="13"/>
      <c r="F14" s="13"/>
      <c r="G14" s="13"/>
      <c r="H14" s="13"/>
      <c r="I14" s="13"/>
    </row>
    <row r="15" spans="1:9" x14ac:dyDescent="0.25">
      <c r="A15" s="2" t="s">
        <v>12</v>
      </c>
      <c r="B15" s="13">
        <f>500+13%*B11</f>
        <v>32861109.129218113</v>
      </c>
      <c r="C15" s="13">
        <f t="shared" ref="C15:I15" si="3">500+13%*C11</f>
        <v>32880414.737081528</v>
      </c>
      <c r="D15" s="13">
        <f t="shared" si="3"/>
        <v>32899731.686989564</v>
      </c>
      <c r="E15" s="13">
        <f t="shared" si="3"/>
        <v>32919059.985605668</v>
      </c>
      <c r="F15" s="13">
        <f t="shared" si="3"/>
        <v>32938399.639597211</v>
      </c>
      <c r="G15" s="13">
        <f t="shared" si="3"/>
        <v>32957750.655635472</v>
      </c>
      <c r="H15" s="13">
        <f t="shared" si="3"/>
        <v>32977113.040395655</v>
      </c>
      <c r="I15" s="13">
        <f t="shared" si="3"/>
        <v>32996486.800556891</v>
      </c>
    </row>
    <row r="16" spans="1:9" x14ac:dyDescent="0.25">
      <c r="A16" s="2" t="s">
        <v>13</v>
      </c>
      <c r="B16" s="13">
        <v>1905000</v>
      </c>
      <c r="C16" s="13">
        <v>5550000</v>
      </c>
      <c r="D16" s="13">
        <v>4250000</v>
      </c>
      <c r="E16" s="13">
        <v>5050000</v>
      </c>
      <c r="F16" s="13">
        <v>2500000</v>
      </c>
      <c r="G16" s="13">
        <v>3150000</v>
      </c>
      <c r="H16" s="13">
        <v>2945000</v>
      </c>
      <c r="I16" s="13">
        <v>3560000</v>
      </c>
    </row>
    <row r="17" spans="1:9" x14ac:dyDescent="0.25">
      <c r="A17" s="2" t="s">
        <v>14</v>
      </c>
      <c r="B17" s="13">
        <v>1700000</v>
      </c>
      <c r="C17" s="13">
        <f>B17*(1+10%)</f>
        <v>1870000.0000000002</v>
      </c>
      <c r="D17" s="13">
        <f t="shared" ref="D17:I17" si="4">C17*(1+10%)</f>
        <v>2057000.0000000005</v>
      </c>
      <c r="E17" s="13">
        <f t="shared" si="4"/>
        <v>2262700.0000000005</v>
      </c>
      <c r="F17" s="13">
        <f t="shared" si="4"/>
        <v>2488970.0000000009</v>
      </c>
      <c r="G17" s="13">
        <f t="shared" si="4"/>
        <v>2737867.0000000014</v>
      </c>
      <c r="H17" s="13">
        <f t="shared" si="4"/>
        <v>3011653.7000000016</v>
      </c>
      <c r="I17" s="13">
        <f t="shared" si="4"/>
        <v>3312819.0700000022</v>
      </c>
    </row>
    <row r="18" spans="1:9" x14ac:dyDescent="0.25">
      <c r="A18" s="2" t="s">
        <v>15</v>
      </c>
      <c r="B18" s="13">
        <f>22.25%*B11</f>
        <v>56242196.394238696</v>
      </c>
      <c r="C18" s="13">
        <f t="shared" ref="C18:I18" si="5">22.25%*C11</f>
        <v>56275238.684620306</v>
      </c>
      <c r="D18" s="13">
        <f t="shared" si="5"/>
        <v>56308300.387347519</v>
      </c>
      <c r="E18" s="13">
        <f t="shared" si="5"/>
        <v>56341381.513825089</v>
      </c>
      <c r="F18" s="13">
        <f t="shared" si="5"/>
        <v>56374482.075464457</v>
      </c>
      <c r="G18" s="13">
        <f t="shared" si="5"/>
        <v>56407602.083683789</v>
      </c>
      <c r="H18" s="13">
        <f t="shared" si="5"/>
        <v>56440741.549907945</v>
      </c>
      <c r="I18" s="13">
        <f t="shared" si="5"/>
        <v>56473900.485568523</v>
      </c>
    </row>
    <row r="19" spans="1:9" x14ac:dyDescent="0.25">
      <c r="A19" s="2" t="s">
        <v>16</v>
      </c>
      <c r="B19" s="13">
        <f>1.5%*B11</f>
        <v>3791608.745679013</v>
      </c>
      <c r="C19" s="13">
        <f t="shared" ref="C19:I19" si="6">1.5%*C11</f>
        <v>3793836.3158170991</v>
      </c>
      <c r="D19" s="13">
        <f t="shared" si="6"/>
        <v>3796065.1946526417</v>
      </c>
      <c r="E19" s="13">
        <f t="shared" si="6"/>
        <v>3798295.3829545001</v>
      </c>
      <c r="F19" s="13">
        <f t="shared" si="6"/>
        <v>3800526.8814919856</v>
      </c>
      <c r="G19" s="13">
        <f t="shared" si="6"/>
        <v>3802759.6910348623</v>
      </c>
      <c r="H19" s="13">
        <f t="shared" si="6"/>
        <v>3804993.8123533446</v>
      </c>
      <c r="I19" s="13">
        <f t="shared" si="6"/>
        <v>3807229.2462181021</v>
      </c>
    </row>
    <row r="20" spans="1:9" ht="18.75" x14ac:dyDescent="0.3">
      <c r="A20" s="4" t="s">
        <v>19</v>
      </c>
      <c r="B20" s="13">
        <f>SUM(B15:B19)</f>
        <v>96499914.269135818</v>
      </c>
      <c r="C20" s="13">
        <f t="shared" ref="C20:I20" si="7">SUM(C15:C19)</f>
        <v>100369489.73751894</v>
      </c>
      <c r="D20" s="13">
        <f t="shared" si="7"/>
        <v>99311097.268989727</v>
      </c>
      <c r="E20" s="13">
        <f t="shared" si="7"/>
        <v>100371436.88238525</v>
      </c>
      <c r="F20" s="13">
        <f t="shared" si="7"/>
        <v>98102378.596553653</v>
      </c>
      <c r="G20" s="13">
        <f t="shared" si="7"/>
        <v>99055979.430354133</v>
      </c>
      <c r="H20" s="13">
        <f t="shared" si="7"/>
        <v>99179502.102656946</v>
      </c>
      <c r="I20" s="13">
        <f t="shared" si="7"/>
        <v>100150435.60234351</v>
      </c>
    </row>
    <row r="21" spans="1:9" ht="42" customHeight="1" x14ac:dyDescent="0.25">
      <c r="B21" s="5"/>
      <c r="C21" s="5"/>
      <c r="D21" s="5"/>
      <c r="E21" s="5"/>
      <c r="F21" s="5"/>
      <c r="G21" s="5"/>
      <c r="H21" s="5"/>
      <c r="I21" s="5"/>
    </row>
    <row r="22" spans="1:9" ht="15" customHeight="1" x14ac:dyDescent="0.3">
      <c r="A22" s="4" t="s">
        <v>20</v>
      </c>
      <c r="B22" s="15">
        <f>B13-B20</f>
        <v>2713847.9094650298</v>
      </c>
      <c r="C22" s="15">
        <f t="shared" ref="C22:I22" si="8">C13-C20</f>
        <v>-1097439.4736381471</v>
      </c>
      <c r="D22" s="15">
        <f t="shared" si="8"/>
        <v>19275.324421092868</v>
      </c>
      <c r="E22" s="15">
        <f t="shared" si="8"/>
        <v>-982707.69507580996</v>
      </c>
      <c r="F22" s="15">
        <f t="shared" si="8"/>
        <v>1344741.4691533148</v>
      </c>
      <c r="G22" s="15">
        <f t="shared" si="8"/>
        <v>449565.8183914572</v>
      </c>
      <c r="H22" s="15">
        <f t="shared" si="8"/>
        <v>384502.65392224491</v>
      </c>
      <c r="I22" s="15">
        <f t="shared" si="8"/>
        <v>-527936.99296982586</v>
      </c>
    </row>
    <row r="23" spans="1:9" x14ac:dyDescent="0.25">
      <c r="A23" s="1" t="s">
        <v>21</v>
      </c>
      <c r="B23" s="16">
        <f>IF(B22&lt;0,0,40%*B22)</f>
        <v>1085539.163786012</v>
      </c>
      <c r="C23" s="16">
        <f t="shared" ref="C23:I23" si="9">IF(C22&lt;0,0,40%*C22)</f>
        <v>0</v>
      </c>
      <c r="D23" s="16">
        <f t="shared" si="9"/>
        <v>7710.1297684371475</v>
      </c>
      <c r="E23" s="16">
        <f t="shared" si="9"/>
        <v>0</v>
      </c>
      <c r="F23" s="16">
        <f t="shared" si="9"/>
        <v>537896.58766132593</v>
      </c>
      <c r="G23" s="16">
        <f t="shared" si="9"/>
        <v>179826.32735658289</v>
      </c>
      <c r="H23" s="16">
        <f t="shared" si="9"/>
        <v>153801.06156889797</v>
      </c>
      <c r="I23" s="16">
        <f t="shared" si="9"/>
        <v>0</v>
      </c>
    </row>
    <row r="24" spans="1:9" ht="18.75" x14ac:dyDescent="0.3">
      <c r="A24" s="4" t="s">
        <v>22</v>
      </c>
      <c r="B24" s="15">
        <f>B22-B23</f>
        <v>1628308.7456790179</v>
      </c>
      <c r="C24" s="15">
        <f t="shared" ref="C24:I24" si="10">C22-C23</f>
        <v>-1097439.4736381471</v>
      </c>
      <c r="D24" s="15">
        <f t="shared" si="10"/>
        <v>11565.19465265572</v>
      </c>
      <c r="E24" s="15">
        <f t="shared" si="10"/>
        <v>-982707.69507580996</v>
      </c>
      <c r="F24" s="15">
        <f t="shared" si="10"/>
        <v>806844.8814919889</v>
      </c>
      <c r="G24" s="15">
        <f t="shared" si="10"/>
        <v>269739.49103487434</v>
      </c>
      <c r="H24" s="15">
        <f t="shared" si="10"/>
        <v>230701.59235334693</v>
      </c>
      <c r="I24" s="15">
        <f t="shared" si="10"/>
        <v>-527936.99296982586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Eight-Year Financial Projection</vt:lpstr>
      <vt:lpstr>Sheet2</vt:lpstr>
      <vt:lpstr>Sheet3</vt:lpstr>
      <vt:lpstr>3-D Cylinder Chart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terry.murray</dc:creator>
  <cp:lastModifiedBy>Long Nguyen</cp:lastModifiedBy>
  <dcterms:created xsi:type="dcterms:W3CDTF">2010-09-22T15:38:05Z</dcterms:created>
  <dcterms:modified xsi:type="dcterms:W3CDTF">2015-10-21T07:32:18Z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81eacb3e-b131-4b27-8e0d-00a2ce0d3f78</vt:lpwstr>
  </property>
</Properties>
</file>