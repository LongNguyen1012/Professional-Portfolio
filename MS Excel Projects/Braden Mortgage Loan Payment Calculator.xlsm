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Braden Mortgage" sheetId="1" r:id="rId1"/>
    <sheet name="Sheet2" sheetId="2" r:id="rId2"/>
    <sheet name="Sheet3" sheetId="3" r:id="rId3"/>
  </sheets>
  <definedNames>
    <definedName name="Down_Payment">'Braden Mortgage'!$C$5</definedName>
    <definedName name="Loan_Amount">'Braden Mortgage'!$C$6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nthly_Payment">'Braden Mortgage'!$E$4</definedName>
    <definedName name="Price">'Braden Mortgage'!$C$4</definedName>
    <definedName name="Rate">'Braden Mortgage'!$E$2</definedName>
    <definedName name="Total_Cost">'Braden Mortgage'!$E$6</definedName>
    <definedName name="Total_Interest">'Braden Mortgage'!$E$5</definedName>
    <definedName name="Years">'Braden Mortgage'!$E$3</definedName>
  </definedNames>
  <calcPr calcId="152511"/>
</workbook>
</file>

<file path=xl/calcChain.xml><?xml version="1.0" encoding="utf-8"?>
<calcChain xmlns="http://schemas.openxmlformats.org/spreadsheetml/2006/main">
  <c r="K22" i="1" l="1"/>
  <c r="C6" i="1"/>
  <c r="H3" i="1" s="1"/>
  <c r="C2" i="1"/>
  <c r="E4" i="1" l="1"/>
  <c r="C9" i="1" l="1"/>
  <c r="E5" i="1"/>
  <c r="I4" i="1"/>
  <c r="I7" i="1"/>
  <c r="I9" i="1"/>
  <c r="H10" i="1" s="1"/>
  <c r="I10" i="1"/>
  <c r="I13" i="1"/>
  <c r="H14" i="1" s="1"/>
  <c r="I14" i="1"/>
  <c r="I17" i="1"/>
  <c r="H18" i="1" s="1"/>
  <c r="I18" i="1"/>
  <c r="I5" i="1"/>
  <c r="H6" i="1" s="1"/>
  <c r="I6" i="1"/>
  <c r="I8" i="1"/>
  <c r="I11" i="1"/>
  <c r="H12" i="1" s="1"/>
  <c r="I12" i="1"/>
  <c r="I15" i="1"/>
  <c r="H16" i="1" s="1"/>
  <c r="I16" i="1"/>
  <c r="I19" i="1"/>
  <c r="H20" i="1" s="1"/>
  <c r="I20" i="1"/>
  <c r="J20" i="1" s="1"/>
  <c r="I3" i="1"/>
  <c r="J16" i="1" l="1"/>
  <c r="K16" i="1" s="1"/>
  <c r="H17" i="1"/>
  <c r="J17" i="1" s="1"/>
  <c r="K17" i="1" s="1"/>
  <c r="J12" i="1"/>
  <c r="K12" i="1" s="1"/>
  <c r="H13" i="1"/>
  <c r="J13" i="1" s="1"/>
  <c r="K13" i="1" s="1"/>
  <c r="H9" i="1"/>
  <c r="J9" i="1" s="1"/>
  <c r="K9" i="1" s="1"/>
  <c r="H5" i="1"/>
  <c r="J5" i="1" s="1"/>
  <c r="K5" i="1" s="1"/>
  <c r="H4" i="1"/>
  <c r="J4" i="1" s="1"/>
  <c r="K4" i="1" s="1"/>
  <c r="J3" i="1"/>
  <c r="K20" i="1"/>
  <c r="J6" i="1"/>
  <c r="K6" i="1" s="1"/>
  <c r="H7" i="1"/>
  <c r="J18" i="1"/>
  <c r="K18" i="1" s="1"/>
  <c r="H19" i="1"/>
  <c r="J19" i="1" s="1"/>
  <c r="K19" i="1" s="1"/>
  <c r="J14" i="1"/>
  <c r="K14" i="1" s="1"/>
  <c r="H15" i="1"/>
  <c r="J15" i="1" s="1"/>
  <c r="K15" i="1" s="1"/>
  <c r="J10" i="1"/>
  <c r="K10" i="1" s="1"/>
  <c r="H11" i="1"/>
  <c r="J11" i="1" s="1"/>
  <c r="K11" i="1" s="1"/>
  <c r="J7" i="1"/>
  <c r="K7" i="1" s="1"/>
  <c r="H8" i="1"/>
  <c r="J8" i="1" s="1"/>
  <c r="K8" i="1" s="1"/>
  <c r="E6" i="1"/>
  <c r="E9" i="1" s="1"/>
  <c r="D9" i="1"/>
  <c r="J21" i="1" l="1"/>
  <c r="K23" i="1" s="1"/>
  <c r="K3" i="1"/>
  <c r="K21" i="1" s="1"/>
</calcChain>
</file>

<file path=xl/sharedStrings.xml><?xml version="1.0" encoding="utf-8"?>
<sst xmlns="http://schemas.openxmlformats.org/spreadsheetml/2006/main" count="26" uniqueCount="21">
  <si>
    <t>Loan Payment Calculator</t>
  </si>
  <si>
    <t>Date</t>
  </si>
  <si>
    <t>Item</t>
  </si>
  <si>
    <t>Price</t>
  </si>
  <si>
    <t>Down Payment</t>
  </si>
  <si>
    <t>Loan Amount</t>
  </si>
  <si>
    <t>Rate</t>
  </si>
  <si>
    <t>Monthly Payment</t>
  </si>
  <si>
    <t>Total Interest</t>
  </si>
  <si>
    <t>Total Cost</t>
  </si>
  <si>
    <t>Years</t>
  </si>
  <si>
    <t>Home</t>
  </si>
  <si>
    <t>Interest Rate Schedule</t>
  </si>
  <si>
    <t>Amottization Schedule</t>
  </si>
  <si>
    <t>Year</t>
  </si>
  <si>
    <t>Beginning Balance</t>
  </si>
  <si>
    <t>Paid On Principle</t>
  </si>
  <si>
    <t>Ending
 Balance</t>
  </si>
  <si>
    <t>Interest
 Paid</t>
  </si>
  <si>
    <t>Subtotal</t>
  </si>
  <si>
    <t>Down Pymt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</si>
</sst>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yy;@"/>
    <numFmt numFmtId="165" formatCode="&quot;$&quot;#,##0.00;[Red]&quot;$&quot;#,##0.00"/>
    <numFmt numFmtId="166" formatCode="#,##0.00;[Red]#,##0.00"/>
  </numFmts>
  <fonts count="3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64" fontId="2" fillId="2" borderId="2" xfId="0" applyNumberFormat="1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165" fontId="2" fillId="2" borderId="5" xfId="0" applyNumberFormat="1" applyFont="1" applyFill="1" applyBorder="1"/>
    <xf numFmtId="165" fontId="2" fillId="2" borderId="8" xfId="0" applyNumberFormat="1" applyFont="1" applyFill="1" applyBorder="1"/>
    <xf numFmtId="165" fontId="2" fillId="2" borderId="6" xfId="0" applyNumberFormat="1" applyFont="1" applyFill="1" applyBorder="1"/>
    <xf numFmtId="165" fontId="2" fillId="2" borderId="9" xfId="0" applyNumberFormat="1" applyFont="1" applyFill="1" applyBorder="1"/>
    <xf numFmtId="0" fontId="2" fillId="2" borderId="5" xfId="0" applyFont="1" applyFill="1" applyBorder="1" applyAlignment="1">
      <alignment horizontal="right"/>
    </xf>
    <xf numFmtId="10" fontId="2" fillId="2" borderId="3" xfId="0" applyNumberFormat="1" applyFont="1" applyFill="1" applyBorder="1"/>
    <xf numFmtId="0" fontId="2" fillId="3" borderId="4" xfId="0" applyFont="1" applyFill="1" applyBorder="1"/>
    <xf numFmtId="165" fontId="2" fillId="3" borderId="5" xfId="0" applyNumberFormat="1" applyFont="1" applyFill="1" applyBorder="1"/>
    <xf numFmtId="165" fontId="2" fillId="3" borderId="6" xfId="0" applyNumberFormat="1" applyFont="1" applyFill="1" applyBorder="1"/>
    <xf numFmtId="10" fontId="2" fillId="3" borderId="4" xfId="0" applyNumberFormat="1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10" fontId="2" fillId="3" borderId="7" xfId="0" applyNumberFormat="1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right"/>
    </xf>
    <xf numFmtId="0" fontId="2" fillId="4" borderId="4" xfId="0" applyFont="1" applyFill="1" applyBorder="1"/>
    <xf numFmtId="165" fontId="2" fillId="4" borderId="5" xfId="0" applyNumberFormat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166" fontId="2" fillId="4" borderId="5" xfId="0" applyNumberFormat="1" applyFont="1" applyFill="1" applyBorder="1"/>
    <xf numFmtId="166" fontId="2" fillId="4" borderId="6" xfId="0" applyNumberFormat="1" applyFont="1" applyFill="1" applyBorder="1"/>
    <xf numFmtId="165" fontId="2" fillId="4" borderId="6" xfId="0" applyNumberFormat="1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165" fontId="2" fillId="4" borderId="9" xfId="0" applyNumberFormat="1" applyFont="1" applyFill="1" applyBorder="1"/>
    <xf numFmtId="0" fontId="2" fillId="4" borderId="10" xfId="0" applyFont="1" applyFill="1" applyBorder="1" applyAlignment="1">
      <alignment horizontal="right" wrapText="1"/>
    </xf>
    <xf numFmtId="0" fontId="2" fillId="4" borderId="11" xfId="0" applyFont="1" applyFill="1" applyBorder="1" applyAlignment="1">
      <alignment horizontal="right" wrapText="1"/>
    </xf>
    <xf numFmtId="0" fontId="2" fillId="4" borderId="12" xfId="0" applyFont="1" applyFill="1" applyBorder="1" applyAlignment="1">
      <alignment horizontal="right" wrapText="1"/>
    </xf>
    <xf numFmtId="0" fontId="2" fillId="4" borderId="13" xfId="0" applyFont="1" applyFill="1" applyBorder="1"/>
    <xf numFmtId="166" fontId="2" fillId="4" borderId="14" xfId="0" applyNumberFormat="1" applyFont="1" applyFill="1" applyBorder="1"/>
    <xf numFmtId="166" fontId="2" fillId="4" borderId="15" xfId="0" applyNumberFormat="1" applyFont="1" applyFill="1" applyBorder="1"/>
    <xf numFmtId="0" fontId="1" fillId="0" borderId="0" xfId="1" applyAlignment="1">
      <alignment horizontal="center"/>
    </xf>
  </cellXfs>
  <cellStyles count="2">
    <cellStyle name="Normal" xfId="0" builtinId="0"/>
    <cellStyle name="Title" xfId="1" builtinId="15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rgb="FF92D050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K23"/>
  <sheetViews>
    <sheetView tabSelected="1" workbookViewId="0">
      <selection activeCell="E16" sqref="E16"/>
    </sheetView>
  </sheetViews>
  <sheetFormatPr defaultRowHeight="15" x14ac:dyDescent="0.25"/>
  <cols>
    <col min="1" max="1" width="2.28515625" style="1" customWidth="1"/>
    <col min="2" max="2" width="14.5703125" style="1" customWidth="1"/>
    <col min="3" max="5" width="17" style="1" customWidth="1"/>
    <col min="6" max="6" width="2.28515625" style="1" customWidth="1"/>
    <col min="7" max="7" width="9.140625" style="1"/>
    <col min="8" max="11" width="14.7109375" style="1" customWidth="1"/>
    <col min="12" max="16384" width="9.140625" style="1"/>
  </cols>
  <sheetData>
    <row r="1" spans="2:11" ht="23.25" customHeight="1" thickBot="1" x14ac:dyDescent="0.35">
      <c r="B1" s="44" t="s">
        <v>0</v>
      </c>
      <c r="C1" s="44"/>
      <c r="D1" s="44"/>
      <c r="E1" s="44"/>
      <c r="G1" s="44" t="s">
        <v>13</v>
      </c>
      <c r="H1" s="44"/>
      <c r="I1" s="44"/>
      <c r="J1" s="44"/>
      <c r="K1" s="44"/>
    </row>
    <row r="2" spans="2:11" ht="30" customHeight="1" x14ac:dyDescent="0.25">
      <c r="B2" s="2" t="s">
        <v>1</v>
      </c>
      <c r="C2" s="3">
        <f ca="1">NOW()</f>
        <v>42298.022942592594</v>
      </c>
      <c r="D2" s="4" t="s">
        <v>6</v>
      </c>
      <c r="E2" s="15">
        <v>5.7500000000000002E-2</v>
      </c>
      <c r="G2" s="38" t="s">
        <v>14</v>
      </c>
      <c r="H2" s="39" t="s">
        <v>15</v>
      </c>
      <c r="I2" s="39" t="s">
        <v>17</v>
      </c>
      <c r="J2" s="39" t="s">
        <v>16</v>
      </c>
      <c r="K2" s="40" t="s">
        <v>18</v>
      </c>
    </row>
    <row r="3" spans="2:11" x14ac:dyDescent="0.25">
      <c r="B3" s="5" t="s">
        <v>2</v>
      </c>
      <c r="C3" s="14" t="s">
        <v>11</v>
      </c>
      <c r="D3" s="6" t="s">
        <v>10</v>
      </c>
      <c r="E3" s="7">
        <v>18</v>
      </c>
      <c r="G3" s="28">
        <v>1</v>
      </c>
      <c r="H3" s="29">
        <f>C6</f>
        <v>235000</v>
      </c>
      <c r="I3" s="30">
        <f>IF(G3&lt;=$E$3, PV($E$2/12,12*($E$3-G3),-$E$4),0)</f>
        <v>227326.79216188408</v>
      </c>
      <c r="J3" s="29">
        <f>H3-I3</f>
        <v>7673.2078381159226</v>
      </c>
      <c r="K3" s="31">
        <f>IF(H3&gt;0,12*$E$4-J3,0)</f>
        <v>13312.373319370887</v>
      </c>
    </row>
    <row r="4" spans="2:11" x14ac:dyDescent="0.25">
      <c r="B4" s="5" t="s">
        <v>3</v>
      </c>
      <c r="C4" s="10">
        <v>265000</v>
      </c>
      <c r="D4" s="6" t="s">
        <v>7</v>
      </c>
      <c r="E4" s="12">
        <f>-PMT(Rate/12, 12*Years, Loan_Amount)</f>
        <v>1748.7984297905675</v>
      </c>
      <c r="G4" s="28">
        <v>2</v>
      </c>
      <c r="H4" s="32">
        <f>I3</f>
        <v>227326.79216188408</v>
      </c>
      <c r="I4" s="32">
        <f t="shared" ref="I4:I20" si="0">IF(G4&lt;=$E$3, PV($E$2/12,12*($E$3-G4),-$E$4),0)</f>
        <v>219200.55942761648</v>
      </c>
      <c r="J4" s="32">
        <f t="shared" ref="J4:J20" si="1">H4-I4</f>
        <v>8126.2327342675999</v>
      </c>
      <c r="K4" s="33">
        <f t="shared" ref="K4:K20" si="2">IF(H4&gt;0,12*$E$4-J4,0)</f>
        <v>12859.34842321921</v>
      </c>
    </row>
    <row r="5" spans="2:11" x14ac:dyDescent="0.25">
      <c r="B5" s="5" t="s">
        <v>4</v>
      </c>
      <c r="C5" s="10">
        <v>30000</v>
      </c>
      <c r="D5" s="6" t="s">
        <v>8</v>
      </c>
      <c r="E5" s="12">
        <f>12*Years*Monthly_Payment-Loan_Amount</f>
        <v>142740.46083476261</v>
      </c>
      <c r="G5" s="28">
        <v>3</v>
      </c>
      <c r="H5" s="32">
        <f t="shared" ref="H5:H20" si="3">I4</f>
        <v>219200.55942761648</v>
      </c>
      <c r="I5" s="32">
        <f t="shared" si="0"/>
        <v>210594.55528376275</v>
      </c>
      <c r="J5" s="32">
        <f t="shared" si="1"/>
        <v>8606.0041438537301</v>
      </c>
      <c r="K5" s="33">
        <f t="shared" si="2"/>
        <v>12379.577013633079</v>
      </c>
    </row>
    <row r="6" spans="2:11" ht="15.75" thickBot="1" x14ac:dyDescent="0.3">
      <c r="B6" s="8" t="s">
        <v>5</v>
      </c>
      <c r="C6" s="11">
        <f>Price-Down_Payment</f>
        <v>235000</v>
      </c>
      <c r="D6" s="9" t="s">
        <v>9</v>
      </c>
      <c r="E6" s="13">
        <f>Price+Total_Interest</f>
        <v>407740.46083476261</v>
      </c>
      <c r="G6" s="28">
        <v>4</v>
      </c>
      <c r="H6" s="32">
        <f t="shared" si="3"/>
        <v>210594.55528376275</v>
      </c>
      <c r="I6" s="32">
        <f t="shared" si="0"/>
        <v>201480.45410724718</v>
      </c>
      <c r="J6" s="32">
        <f t="shared" si="1"/>
        <v>9114.1011765155708</v>
      </c>
      <c r="K6" s="33">
        <f t="shared" si="2"/>
        <v>11871.479980971239</v>
      </c>
    </row>
    <row r="7" spans="2:11" ht="23.25" customHeight="1" thickBot="1" x14ac:dyDescent="0.35">
      <c r="B7" s="44" t="s">
        <v>12</v>
      </c>
      <c r="C7" s="44"/>
      <c r="D7" s="44"/>
      <c r="E7" s="44"/>
      <c r="G7" s="28">
        <v>5</v>
      </c>
      <c r="H7" s="32">
        <f t="shared" si="3"/>
        <v>201480.45410724718</v>
      </c>
      <c r="I7" s="32">
        <f t="shared" si="0"/>
        <v>191828.2579349867</v>
      </c>
      <c r="J7" s="32">
        <f t="shared" si="1"/>
        <v>9652.1961722604756</v>
      </c>
      <c r="K7" s="33">
        <f t="shared" si="2"/>
        <v>11333.384985226334</v>
      </c>
    </row>
    <row r="8" spans="2:11" ht="18" customHeight="1" x14ac:dyDescent="0.25">
      <c r="B8" s="25" t="s">
        <v>6</v>
      </c>
      <c r="C8" s="26" t="s">
        <v>7</v>
      </c>
      <c r="D8" s="26" t="s">
        <v>8</v>
      </c>
      <c r="E8" s="27" t="s">
        <v>9</v>
      </c>
      <c r="G8" s="28">
        <v>6</v>
      </c>
      <c r="H8" s="32">
        <f t="shared" si="3"/>
        <v>191828.2579349867</v>
      </c>
      <c r="I8" s="32">
        <f t="shared" si="0"/>
        <v>181606.1977292191</v>
      </c>
      <c r="J8" s="32">
        <f t="shared" si="1"/>
        <v>10222.060205767601</v>
      </c>
      <c r="K8" s="33">
        <f t="shared" si="2"/>
        <v>10763.520951719209</v>
      </c>
    </row>
    <row r="9" spans="2:11" x14ac:dyDescent="0.25">
      <c r="B9" s="16"/>
      <c r="C9" s="17">
        <f>E4</f>
        <v>1748.7984297905675</v>
      </c>
      <c r="D9" s="17">
        <f>E5</f>
        <v>142740.46083476261</v>
      </c>
      <c r="E9" s="18">
        <f>E6</f>
        <v>407740.46083476261</v>
      </c>
      <c r="G9" s="28">
        <v>7</v>
      </c>
      <c r="H9" s="32">
        <f t="shared" si="3"/>
        <v>181606.1977292191</v>
      </c>
      <c r="I9" s="32">
        <f t="shared" si="0"/>
        <v>170780.62881355267</v>
      </c>
      <c r="J9" s="32">
        <f t="shared" si="1"/>
        <v>10825.56891566643</v>
      </c>
      <c r="K9" s="33">
        <f t="shared" si="2"/>
        <v>10160.012241820379</v>
      </c>
    </row>
    <row r="10" spans="2:11" x14ac:dyDescent="0.25">
      <c r="B10" s="19">
        <v>4.4999999999999998E-2</v>
      </c>
      <c r="C10" s="20">
        <f t="dataTable" ref="C10:E23" dt2D="0" dtr="0" r1="E2"/>
        <v>1589.3628267019878</v>
      </c>
      <c r="D10" s="20">
        <v>108302.37056762935</v>
      </c>
      <c r="E10" s="21">
        <v>373302.37056762935</v>
      </c>
      <c r="G10" s="28">
        <v>8</v>
      </c>
      <c r="H10" s="32">
        <f t="shared" si="3"/>
        <v>170780.62881355267</v>
      </c>
      <c r="I10" s="32">
        <f t="shared" si="0"/>
        <v>159315.920135578</v>
      </c>
      <c r="J10" s="32">
        <f t="shared" si="1"/>
        <v>11464.708677974675</v>
      </c>
      <c r="K10" s="33">
        <f t="shared" si="2"/>
        <v>9520.8724795121343</v>
      </c>
    </row>
    <row r="11" spans="2:11" x14ac:dyDescent="0.25">
      <c r="B11" s="19">
        <v>4.7500000000000001E-2</v>
      </c>
      <c r="C11" s="20">
        <v>1620.5764208233943</v>
      </c>
      <c r="D11" s="20">
        <v>115044.50689785316</v>
      </c>
      <c r="E11" s="21">
        <v>380044.50689785316</v>
      </c>
      <c r="G11" s="28">
        <v>9</v>
      </c>
      <c r="H11" s="32">
        <f t="shared" si="3"/>
        <v>159315.920135578</v>
      </c>
      <c r="I11" s="32">
        <f t="shared" si="0"/>
        <v>147174.33699156303</v>
      </c>
      <c r="J11" s="32">
        <f t="shared" si="1"/>
        <v>12141.583144014963</v>
      </c>
      <c r="K11" s="33">
        <f t="shared" si="2"/>
        <v>8843.9980134718462</v>
      </c>
    </row>
    <row r="12" spans="2:11" x14ac:dyDescent="0.25">
      <c r="B12" s="19">
        <v>0.05</v>
      </c>
      <c r="C12" s="20">
        <v>1652.1295521946004</v>
      </c>
      <c r="D12" s="20">
        <v>121859.9832740337</v>
      </c>
      <c r="E12" s="21">
        <v>386859.9832740337</v>
      </c>
      <c r="G12" s="28">
        <v>10</v>
      </c>
      <c r="H12" s="32">
        <f t="shared" si="3"/>
        <v>147174.33699156303</v>
      </c>
      <c r="I12" s="32">
        <f t="shared" si="0"/>
        <v>134315.91682723389</v>
      </c>
      <c r="J12" s="32">
        <f t="shared" si="1"/>
        <v>12858.420164329145</v>
      </c>
      <c r="K12" s="33">
        <f t="shared" si="2"/>
        <v>8127.1609931576641</v>
      </c>
    </row>
    <row r="13" spans="2:11" x14ac:dyDescent="0.25">
      <c r="B13" s="19">
        <v>5.2499999999999998E-2</v>
      </c>
      <c r="C13" s="20">
        <v>1684.0194993398445</v>
      </c>
      <c r="D13" s="20">
        <v>128748.21185740642</v>
      </c>
      <c r="E13" s="21">
        <v>393748.21185740642</v>
      </c>
      <c r="G13" s="28">
        <v>11</v>
      </c>
      <c r="H13" s="32">
        <f t="shared" si="3"/>
        <v>134315.91682723389</v>
      </c>
      <c r="I13" s="32">
        <f t="shared" si="0"/>
        <v>120698.33770585491</v>
      </c>
      <c r="J13" s="32">
        <f t="shared" si="1"/>
        <v>13617.579121378978</v>
      </c>
      <c r="K13" s="33">
        <f t="shared" si="2"/>
        <v>7368.0020361078314</v>
      </c>
    </row>
    <row r="14" spans="2:11" x14ac:dyDescent="0.25">
      <c r="B14" s="19">
        <v>5.5E-2</v>
      </c>
      <c r="C14" s="20">
        <v>1716.2434349913474</v>
      </c>
      <c r="D14" s="20">
        <v>135708.58195813105</v>
      </c>
      <c r="E14" s="21">
        <v>400708.58195813105</v>
      </c>
      <c r="G14" s="28">
        <v>12</v>
      </c>
      <c r="H14" s="32">
        <f t="shared" si="3"/>
        <v>120698.33770585491</v>
      </c>
      <c r="I14" s="32">
        <f t="shared" si="0"/>
        <v>106276.7790106859</v>
      </c>
      <c r="J14" s="32">
        <f t="shared" si="1"/>
        <v>14421.558695169006</v>
      </c>
      <c r="K14" s="33">
        <f t="shared" si="2"/>
        <v>6564.0224623178037</v>
      </c>
    </row>
    <row r="15" spans="2:11" x14ac:dyDescent="0.25">
      <c r="B15" s="19">
        <v>5.7500000000000002E-2</v>
      </c>
      <c r="C15" s="20">
        <v>1748.7984297905675</v>
      </c>
      <c r="D15" s="20">
        <v>142740.46083476261</v>
      </c>
      <c r="E15" s="21">
        <v>407740.46083476261</v>
      </c>
      <c r="G15" s="28">
        <v>13</v>
      </c>
      <c r="H15" s="32">
        <f t="shared" si="3"/>
        <v>106276.7790106859</v>
      </c>
      <c r="I15" s="32">
        <f t="shared" si="0"/>
        <v>91003.773923336455</v>
      </c>
      <c r="J15" s="32">
        <f t="shared" si="1"/>
        <v>15273.005087349447</v>
      </c>
      <c r="K15" s="33">
        <f t="shared" si="2"/>
        <v>5712.576070137362</v>
      </c>
    </row>
    <row r="16" spans="2:11" x14ac:dyDescent="0.25">
      <c r="B16" s="19">
        <v>0.06</v>
      </c>
      <c r="C16" s="20">
        <v>1781.6814560795574</v>
      </c>
      <c r="D16" s="20">
        <v>149843.19451318437</v>
      </c>
      <c r="E16" s="21">
        <v>414843.19451318437</v>
      </c>
      <c r="G16" s="28">
        <v>14</v>
      </c>
      <c r="H16" s="32">
        <f t="shared" si="3"/>
        <v>91003.773923336455</v>
      </c>
      <c r="I16" s="32">
        <f t="shared" si="0"/>
        <v>74829.053192466949</v>
      </c>
      <c r="J16" s="32">
        <f t="shared" si="1"/>
        <v>16174.720730869507</v>
      </c>
      <c r="K16" s="33">
        <f t="shared" si="2"/>
        <v>4810.8604266173024</v>
      </c>
    </row>
    <row r="17" spans="2:11" x14ac:dyDescent="0.25">
      <c r="B17" s="19">
        <v>6.25E-2</v>
      </c>
      <c r="C17" s="20">
        <v>1814.889391773235</v>
      </c>
      <c r="D17" s="20">
        <v>157016.10862301878</v>
      </c>
      <c r="E17" s="21">
        <v>422016.10862301878</v>
      </c>
      <c r="G17" s="28">
        <v>15</v>
      </c>
      <c r="H17" s="32">
        <f t="shared" si="3"/>
        <v>74829.053192466949</v>
      </c>
      <c r="I17" s="32">
        <f t="shared" si="0"/>
        <v>57699.379678619967</v>
      </c>
      <c r="J17" s="32">
        <f t="shared" si="1"/>
        <v>17129.673513846981</v>
      </c>
      <c r="K17" s="33">
        <f t="shared" si="2"/>
        <v>3855.9076436398282</v>
      </c>
    </row>
    <row r="18" spans="2:11" x14ac:dyDescent="0.25">
      <c r="B18" s="19">
        <v>6.5000000000000002E-2</v>
      </c>
      <c r="C18" s="20">
        <v>1848.4190243033697</v>
      </c>
      <c r="D18" s="20">
        <v>164258.50924952788</v>
      </c>
      <c r="E18" s="21">
        <v>429258.50924952788</v>
      </c>
      <c r="G18" s="28">
        <v>16</v>
      </c>
      <c r="H18" s="32">
        <f t="shared" si="3"/>
        <v>57699.379678619967</v>
      </c>
      <c r="I18" s="32">
        <f t="shared" si="0"/>
        <v>39558.373130606597</v>
      </c>
      <c r="J18" s="32">
        <f t="shared" si="1"/>
        <v>18141.006548013371</v>
      </c>
      <c r="K18" s="33">
        <f t="shared" si="2"/>
        <v>2844.5746094734386</v>
      </c>
    </row>
    <row r="19" spans="2:11" x14ac:dyDescent="0.25">
      <c r="B19" s="19">
        <v>6.7500000000000004E-2</v>
      </c>
      <c r="C19" s="20">
        <v>1882.2670546250495</v>
      </c>
      <c r="D19" s="20">
        <v>171569.6837990107</v>
      </c>
      <c r="E19" s="21">
        <v>436569.6837990107</v>
      </c>
      <c r="G19" s="28">
        <v>17</v>
      </c>
      <c r="H19" s="32">
        <f t="shared" si="3"/>
        <v>39558.373130606597</v>
      </c>
      <c r="I19" s="32">
        <f t="shared" si="0"/>
        <v>20346.324616720161</v>
      </c>
      <c r="J19" s="32">
        <f t="shared" si="1"/>
        <v>19212.048513886435</v>
      </c>
      <c r="K19" s="33">
        <f t="shared" si="2"/>
        <v>1773.5326436003743</v>
      </c>
    </row>
    <row r="20" spans="2:11" x14ac:dyDescent="0.25">
      <c r="B20" s="19">
        <v>7.0000000000000007E-2</v>
      </c>
      <c r="C20" s="20">
        <v>1916.4301012764315</v>
      </c>
      <c r="D20" s="20">
        <v>178948.90187570918</v>
      </c>
      <c r="E20" s="21">
        <v>443948.90187570918</v>
      </c>
      <c r="G20" s="41">
        <v>18</v>
      </c>
      <c r="H20" s="42">
        <f t="shared" si="3"/>
        <v>20346.324616720161</v>
      </c>
      <c r="I20" s="42">
        <f t="shared" si="0"/>
        <v>0</v>
      </c>
      <c r="J20" s="42">
        <f t="shared" si="1"/>
        <v>20346.324616720161</v>
      </c>
      <c r="K20" s="43">
        <f t="shared" si="2"/>
        <v>639.25654076664796</v>
      </c>
    </row>
    <row r="21" spans="2:11" x14ac:dyDescent="0.25">
      <c r="B21" s="19">
        <v>7.2499999999999995E-2</v>
      </c>
      <c r="C21" s="20">
        <v>1950.9047044826261</v>
      </c>
      <c r="D21" s="20">
        <v>186395.41616824723</v>
      </c>
      <c r="E21" s="21">
        <v>451395.41616824723</v>
      </c>
      <c r="G21" s="28"/>
      <c r="H21" s="30"/>
      <c r="I21" s="30" t="s">
        <v>19</v>
      </c>
      <c r="J21" s="29">
        <f t="shared" ref="J21:K21" si="4">SUM(J3:J20)</f>
        <v>235000</v>
      </c>
      <c r="K21" s="34">
        <f t="shared" si="4"/>
        <v>142740.46083476261</v>
      </c>
    </row>
    <row r="22" spans="2:11" x14ac:dyDescent="0.25">
      <c r="B22" s="19">
        <v>7.4999999999999997E-2</v>
      </c>
      <c r="C22" s="20">
        <v>1985.6873302946437</v>
      </c>
      <c r="D22" s="20">
        <v>193908.46334364306</v>
      </c>
      <c r="E22" s="21">
        <v>458908.46334364306</v>
      </c>
      <c r="G22" s="28"/>
      <c r="H22" s="30"/>
      <c r="I22" s="30" t="s">
        <v>20</v>
      </c>
      <c r="J22" s="30"/>
      <c r="K22" s="34">
        <f>C5</f>
        <v>30000</v>
      </c>
    </row>
    <row r="23" spans="2:11" ht="15.75" thickBot="1" x14ac:dyDescent="0.3">
      <c r="B23" s="22">
        <v>7.7499999999999999E-2</v>
      </c>
      <c r="C23" s="23">
        <v>2020.7743747544605</v>
      </c>
      <c r="D23" s="23">
        <v>201487.26494696346</v>
      </c>
      <c r="E23" s="24">
        <v>466487.26494696346</v>
      </c>
      <c r="G23" s="35"/>
      <c r="H23" s="36"/>
      <c r="I23" s="36" t="s">
        <v>9</v>
      </c>
      <c r="J23" s="36"/>
      <c r="K23" s="37">
        <f>J21+K21+K22</f>
        <v>407740.46083476261</v>
      </c>
    </row>
  </sheetData>
  <mergeCells count="3">
    <mergeCell ref="B1:E1"/>
    <mergeCell ref="B7:E7"/>
    <mergeCell ref="G1:K1"/>
  </mergeCells>
  <conditionalFormatting sqref="B10:B23">
    <cfRule type="cellIs" dxfId="2" priority="1" operator="equal">
      <formula>$E$2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Braden Mortgage</vt:lpstr>
      <vt:lpstr>Sheet2</vt:lpstr>
      <vt:lpstr>Sheet3</vt:lpstr>
      <vt:lpstr>Down_Payment</vt:lpstr>
      <vt:lpstr>Loan_Amount</vt:lpstr>
      <vt:lpstr>Monthly_Payment</vt:lpstr>
      <vt:lpstr>Price</vt:lpstr>
      <vt:lpstr>Rate</vt:lpstr>
      <vt:lpstr>Total_Cost</vt:lpstr>
      <vt:lpstr>Total_Interest</vt:lpstr>
      <vt:lpstr>Years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Murray, Terry R</dc:creator>
  <cp:lastModifiedBy>Long Nguyen</cp:lastModifiedBy>
  <dcterms:created xsi:type="dcterms:W3CDTF">2011-02-11T16:20:04Z</dcterms:created>
  <dcterms:modified xsi:type="dcterms:W3CDTF">2015-10-21T07:33:59Z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ab002f45-efd4-4ebc-85f8-6a13bfb345a2</vt:lpwstr>
  </property>
</Properties>
</file>