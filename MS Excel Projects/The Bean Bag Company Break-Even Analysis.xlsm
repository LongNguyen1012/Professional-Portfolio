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Long Nguyen\My-1st-Project\"/>
    </mc:Choice>
  </mc:AlternateContent>
  <bookViews>
    <workbookView xWindow="0" yWindow="0" windowWidth="28800" windowHeight="12435"/>
  </bookViews>
  <sheets>
    <sheet name="Break-Even Analysis" sheetId="1" r:id="rId1"/>
    <sheet name="Sheet2" sheetId="2" r:id="rId2"/>
    <sheet name="Sheet3" sheetId="3" r:id="rId3"/>
  </sheets>
  <definedNames>
    <definedName name="Administrative">'Break-Even Analysis'!$C$8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nufacturing_Cost_per_Unit">'Break-Even Analysis'!$C$16</definedName>
    <definedName name="Marketing">'Break-Even Analysis'!$C$10</definedName>
    <definedName name="Material_Cost_per_Unit">'Break-Even Analysis'!$C$14</definedName>
    <definedName name="Operating_Income">'Break-Even Analysis'!$C$21</definedName>
    <definedName name="Price_per_Unit">'Break-Even Analysis'!$C$5</definedName>
    <definedName name="rent">'Break-Even Analysis'!$C$9</definedName>
    <definedName name="Salary_and_Benefits">'Break-Even Analysis'!$C$11</definedName>
    <definedName name="Total_Expenses">'Break-Even Analysis'!$C$20</definedName>
    <definedName name="Total_Fixed_Expenses">'Break-Even Analysis'!$C$12</definedName>
    <definedName name="Total_Manufacturing_Cost">'Break-Even Analysis'!$C$17</definedName>
    <definedName name="Total_Material_Cost">'Break-Even Analysis'!$C$15</definedName>
    <definedName name="Total_Revenue">'Break-Even Analysis'!$C$6</definedName>
    <definedName name="Total_Variable_Expense">'Break-Even Analysis'!$C$18</definedName>
    <definedName name="Units_Sold">'Break-Even Analysis'!$C$4</definedName>
  </definedNames>
  <calcPr calcId="152511"/>
</workbook>
</file>

<file path=xl/calcChain.xml><?xml version="1.0" encoding="utf-8"?>
<calcChain xmlns="http://schemas.openxmlformats.org/spreadsheetml/2006/main">
  <c r="C15" i="1" l="1"/>
  <c r="C17" i="1"/>
  <c r="C12" i="1"/>
  <c r="C6" i="1"/>
  <c r="F4" i="1" s="1"/>
  <c r="C18" i="1" l="1"/>
  <c r="C20" i="1" s="1"/>
  <c r="C21" i="1" l="1"/>
  <c r="H4" i="1" s="1"/>
  <c r="G4" i="1"/>
</calcChain>
</file>

<file path=xl/sharedStrings.xml><?xml version="1.0" encoding="utf-8"?>
<sst xmlns="http://schemas.openxmlformats.org/spreadsheetml/2006/main" count="26" uniqueCount="25">
  <si>
    <t>Quarterly Income Statement</t>
  </si>
  <si>
    <t>Revenue</t>
  </si>
  <si>
    <t>Units Sold</t>
  </si>
  <si>
    <t>Price per Unit</t>
  </si>
  <si>
    <t>Total Revenue</t>
  </si>
  <si>
    <t>Fixed Expenses</t>
  </si>
  <si>
    <t>Administrative</t>
  </si>
  <si>
    <t>rent</t>
  </si>
  <si>
    <t>Marketing</t>
  </si>
  <si>
    <t>Salary and Benefits</t>
  </si>
  <si>
    <t>Total Fixed Expenses</t>
  </si>
  <si>
    <t>Variable Expenses</t>
  </si>
  <si>
    <t>Material Cost per Unit</t>
  </si>
  <si>
    <t>Total Material Cost</t>
  </si>
  <si>
    <t>Manufacturing Cost per Unit</t>
  </si>
  <si>
    <t>Total Manufacturing Cost</t>
  </si>
  <si>
    <t>Total Variable Expense</t>
  </si>
  <si>
    <t>Summary</t>
  </si>
  <si>
    <t>Total Expenses</t>
  </si>
  <si>
    <t>Operating Income</t>
  </si>
  <si>
    <t>Break-Even 
Analysis</t>
  </si>
  <si>
    <t>Units</t>
  </si>
  <si>
    <t>Expenses</t>
  </si>
  <si>
    <t>Income</t>
  </si>
  <si>
    <t>The Bean Bag Game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</si>
</sst>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8" formatCode="&quot;$&quot;#,##0.00_);[Red]\(&quot;$&quot;#,##0.00\)"/>
  </numFmts>
  <fonts count="8" x14ac:knownFonts="1">
    <font>
      <sz val="11"/>
      <color theme="1"/>
      <name val="Lucida Sans Unicode"/>
      <family val="2"/>
      <scheme val="minor"/>
    </font>
    <font>
      <b/>
      <sz val="18"/>
      <color theme="3"/>
      <name val="Lucida Sans Unicode"/>
      <family val="2"/>
      <scheme val="major"/>
    </font>
    <font>
      <b/>
      <sz val="11"/>
      <color theme="1"/>
      <name val="Lucida Sans Unicode"/>
      <family val="2"/>
      <scheme val="minor"/>
    </font>
    <font>
      <b/>
      <sz val="24"/>
      <color theme="0"/>
      <name val="Lucida Sans Unicode"/>
      <family val="2"/>
      <scheme val="major"/>
    </font>
    <font>
      <b/>
      <sz val="16"/>
      <color theme="0"/>
      <name val="Lucida Sans Unicode"/>
      <family val="2"/>
      <scheme val="major"/>
    </font>
    <font>
      <b/>
      <sz val="12"/>
      <color theme="6"/>
      <name val="Lucida Sans Unicode"/>
      <family val="2"/>
      <scheme val="minor"/>
    </font>
    <font>
      <b/>
      <sz val="18"/>
      <color theme="0"/>
      <name val="Lucida Sans Unicode"/>
      <family val="2"/>
      <scheme val="major"/>
    </font>
    <font>
      <b/>
      <sz val="11"/>
      <color theme="6"/>
      <name val="Lucida Sans Unicode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theme="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5" fillId="0" borderId="0" xfId="0" applyFont="1"/>
    <xf numFmtId="6" fontId="2" fillId="0" borderId="0" xfId="0" applyNumberFormat="1" applyFont="1"/>
    <xf numFmtId="8" fontId="2" fillId="0" borderId="0" xfId="0" applyNumberFormat="1" applyFont="1"/>
    <xf numFmtId="38" fontId="2" fillId="0" borderId="0" xfId="0" applyNumberFormat="1" applyFont="1"/>
    <xf numFmtId="0" fontId="2" fillId="0" borderId="7" xfId="0" applyFont="1" applyBorder="1"/>
    <xf numFmtId="8" fontId="2" fillId="0" borderId="7" xfId="0" applyNumberFormat="1" applyFont="1" applyBorder="1"/>
    <xf numFmtId="6" fontId="2" fillId="0" borderId="7" xfId="0" applyNumberFormat="1" applyFont="1" applyBorder="1"/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2" fillId="0" borderId="17" xfId="0" applyFont="1" applyBorder="1"/>
    <xf numFmtId="6" fontId="2" fillId="0" borderId="18" xfId="0" applyNumberFormat="1" applyFont="1" applyBorder="1"/>
    <xf numFmtId="3" fontId="2" fillId="0" borderId="19" xfId="0" applyNumberFormat="1" applyFont="1" applyBorder="1"/>
    <xf numFmtId="38" fontId="2" fillId="0" borderId="17" xfId="0" applyNumberFormat="1" applyFont="1" applyBorder="1"/>
    <xf numFmtId="38" fontId="2" fillId="0" borderId="18" xfId="0" applyNumberFormat="1" applyFont="1" applyBorder="1"/>
    <xf numFmtId="38" fontId="2" fillId="0" borderId="19" xfId="0" applyNumberFormat="1" applyFont="1" applyBorder="1"/>
    <xf numFmtId="38" fontId="2" fillId="0" borderId="11" xfId="0" applyNumberFormat="1" applyFont="1" applyBorder="1"/>
    <xf numFmtId="38" fontId="2" fillId="0" borderId="12" xfId="0" applyNumberFormat="1" applyFont="1" applyBorder="1"/>
    <xf numFmtId="38" fontId="2" fillId="0" borderId="13" xfId="0" applyNumberFormat="1" applyFont="1" applyBorder="1"/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center" vertical="center" wrapText="1"/>
    </xf>
    <xf numFmtId="0" fontId="6" fillId="2" borderId="9" xfId="1" applyFont="1" applyFill="1" applyBorder="1" applyAlignment="1">
      <alignment horizontal="center" vertical="center"/>
    </xf>
    <xf numFmtId="0" fontId="6" fillId="2" borderId="10" xfId="1" applyFont="1" applyFill="1" applyBorder="1" applyAlignment="1">
      <alignment horizontal="center" vertical="center"/>
    </xf>
    <xf numFmtId="0" fontId="6" fillId="2" borderId="11" xfId="1" applyFont="1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/>
    </xf>
    <xf numFmtId="0" fontId="6" fillId="2" borderId="13" xfId="1" applyFont="1" applyFill="1" applyBorder="1" applyAlignment="1">
      <alignment horizontal="center" vertical="center"/>
    </xf>
  </cellXfs>
  <cellStyles count="2">
    <cellStyle name="Normal" xfId="0" builtinId="0"/>
    <cellStyle name="Title" xfId="1" builtinId="1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ncours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Concourse">
      <a:majorFont>
        <a:latin typeface="Lucida Sans Unicode"/>
        <a:ea typeface=""/>
        <a:cs typeface=""/>
        <a:font script="Jpan" typeface="ＭＳ Ｐゴシック"/>
        <a:font script="Hang" typeface="맑은 고딕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Uigh" typeface="Microsoft Uighur"/>
      </a:majorFont>
      <a:minorFont>
        <a:latin typeface="Lucida Sans Unicode"/>
        <a:ea typeface=""/>
        <a:cs typeface=""/>
        <a:font script="Jpan" typeface="ＭＳ Ｐゴシック"/>
        <a:font script="Hang" typeface="맑은 고딕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Uigh" typeface="Microsoft Uighur"/>
      </a:minorFont>
    </a:fontScheme>
    <a:fmtScheme name="Concours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55000" cap="flat" cmpd="thickThin" algn="ctr">
          <a:solidFill>
            <a:schemeClr val="phClr"/>
          </a:solidFill>
          <a:prstDash val="solid"/>
        </a:ln>
        <a:ln w="63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55000"/>
                <a:satMod val="300000"/>
              </a:schemeClr>
            </a:gs>
            <a:gs pos="40000">
              <a:schemeClr val="phClr">
                <a:tint val="65000"/>
                <a:satMod val="300000"/>
              </a:schemeClr>
            </a:gs>
            <a:gs pos="100000">
              <a:schemeClr val="phClr">
                <a:shade val="65000"/>
                <a:satMod val="300000"/>
              </a:schemeClr>
            </a:gs>
          </a:gsLst>
          <a:path path="circle">
            <a:fillToRect l="65000" b="98000"/>
          </a:path>
        </a:gradFill>
        <a:blipFill>
          <a:blip xmlns:r="http://schemas.openxmlformats.org/officeDocument/2006/relationships" r:embed="rId1">
            <a:duotone>
              <a:schemeClr val="phClr">
                <a:shade val="60000"/>
                <a:satMod val="110000"/>
              </a:schemeClr>
              <a:schemeClr val="phClr">
                <a:tint val="95000"/>
              </a:schemeClr>
            </a:duotone>
          </a:blip>
          <a:tile tx="0" ty="0" sx="50000" sy="5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H21"/>
  <sheetViews>
    <sheetView tabSelected="1" workbookViewId="0">
      <selection activeCell="E13" sqref="E13"/>
    </sheetView>
  </sheetViews>
  <sheetFormatPr defaultRowHeight="14.25" x14ac:dyDescent="0.2"/>
  <cols>
    <col min="1" max="1" width="21.77734375" style="1" customWidth="1"/>
    <col min="2" max="2" width="26.77734375" style="1" customWidth="1"/>
    <col min="3" max="3" width="13.5546875" style="1" customWidth="1"/>
    <col min="4" max="4" width="0.88671875" style="1" customWidth="1"/>
    <col min="5" max="5" width="9" style="1" customWidth="1"/>
    <col min="6" max="8" width="12" style="1" customWidth="1"/>
    <col min="9" max="16384" width="8.88671875" style="1"/>
  </cols>
  <sheetData>
    <row r="1" spans="1:8" ht="30" customHeight="1" thickTop="1" x14ac:dyDescent="0.4">
      <c r="A1" s="21" t="s">
        <v>24</v>
      </c>
      <c r="B1" s="22"/>
      <c r="C1" s="23"/>
      <c r="E1" s="27" t="s">
        <v>20</v>
      </c>
      <c r="F1" s="28"/>
      <c r="G1" s="28"/>
      <c r="H1" s="29"/>
    </row>
    <row r="2" spans="1:8" ht="19.5" customHeight="1" thickBot="1" x14ac:dyDescent="0.3">
      <c r="A2" s="24" t="s">
        <v>0</v>
      </c>
      <c r="B2" s="25"/>
      <c r="C2" s="26"/>
      <c r="E2" s="30"/>
      <c r="F2" s="31"/>
      <c r="G2" s="31"/>
      <c r="H2" s="32"/>
    </row>
    <row r="3" spans="1:8" ht="18" thickTop="1" thickBot="1" x14ac:dyDescent="0.3">
      <c r="A3" s="2" t="s">
        <v>1</v>
      </c>
      <c r="E3" s="9" t="s">
        <v>21</v>
      </c>
      <c r="F3" s="10" t="s">
        <v>1</v>
      </c>
      <c r="G3" s="10" t="s">
        <v>22</v>
      </c>
      <c r="H3" s="11" t="s">
        <v>23</v>
      </c>
    </row>
    <row r="4" spans="1:8" x14ac:dyDescent="0.2">
      <c r="B4" s="1" t="s">
        <v>2</v>
      </c>
      <c r="C4" s="5">
        <v>55000</v>
      </c>
      <c r="E4" s="12"/>
      <c r="F4" s="13">
        <f>Total_Revenue</f>
        <v>1320000</v>
      </c>
      <c r="G4" s="13">
        <f>Total_Expenses</f>
        <v>1310394</v>
      </c>
      <c r="H4" s="14">
        <f>Operating_Income</f>
        <v>9606</v>
      </c>
    </row>
    <row r="5" spans="1:8" ht="15" thickBot="1" x14ac:dyDescent="0.25">
      <c r="B5" s="6" t="s">
        <v>3</v>
      </c>
      <c r="C5" s="7">
        <v>24</v>
      </c>
      <c r="E5" s="15">
        <v>40000</v>
      </c>
      <c r="F5" s="16">
        <f t="dataTable" ref="F5:H21" dt2D="0" dtr="0" r1="C4"/>
        <v>960000</v>
      </c>
      <c r="G5" s="16">
        <v>1085394</v>
      </c>
      <c r="H5" s="17">
        <v>-125394</v>
      </c>
    </row>
    <row r="6" spans="1:8" ht="15" thickTop="1" x14ac:dyDescent="0.2">
      <c r="B6" s="1" t="s">
        <v>4</v>
      </c>
      <c r="C6" s="3">
        <f>Units_Sold*Price_per_Unit</f>
        <v>1320000</v>
      </c>
      <c r="E6" s="15">
        <v>45000</v>
      </c>
      <c r="F6" s="16">
        <v>1080000</v>
      </c>
      <c r="G6" s="16">
        <v>1160394</v>
      </c>
      <c r="H6" s="17">
        <v>-80394</v>
      </c>
    </row>
    <row r="7" spans="1:8" ht="16.5" x14ac:dyDescent="0.25">
      <c r="A7" s="2" t="s">
        <v>5</v>
      </c>
      <c r="E7" s="15">
        <v>50000</v>
      </c>
      <c r="F7" s="16">
        <v>1200000</v>
      </c>
      <c r="G7" s="16">
        <v>1235394</v>
      </c>
      <c r="H7" s="17">
        <v>-35394</v>
      </c>
    </row>
    <row r="8" spans="1:8" x14ac:dyDescent="0.2">
      <c r="B8" s="1" t="s">
        <v>6</v>
      </c>
      <c r="C8" s="3">
        <v>131394</v>
      </c>
      <c r="E8" s="15">
        <v>55000</v>
      </c>
      <c r="F8" s="16">
        <v>1320000</v>
      </c>
      <c r="G8" s="16">
        <v>1310394</v>
      </c>
      <c r="H8" s="17">
        <v>9606</v>
      </c>
    </row>
    <row r="9" spans="1:8" x14ac:dyDescent="0.2">
      <c r="B9" s="1" t="s">
        <v>7</v>
      </c>
      <c r="C9" s="5">
        <v>52000</v>
      </c>
      <c r="E9" s="15">
        <v>60000</v>
      </c>
      <c r="F9" s="16">
        <v>1440000</v>
      </c>
      <c r="G9" s="16">
        <v>1385394</v>
      </c>
      <c r="H9" s="17">
        <v>54606</v>
      </c>
    </row>
    <row r="10" spans="1:8" x14ac:dyDescent="0.2">
      <c r="B10" s="1" t="s">
        <v>8</v>
      </c>
      <c r="C10" s="5">
        <v>55000</v>
      </c>
      <c r="E10" s="15">
        <v>65000</v>
      </c>
      <c r="F10" s="16">
        <v>1560000</v>
      </c>
      <c r="G10" s="16">
        <v>1460394</v>
      </c>
      <c r="H10" s="17">
        <v>99606</v>
      </c>
    </row>
    <row r="11" spans="1:8" ht="15" thickBot="1" x14ac:dyDescent="0.25">
      <c r="B11" s="6" t="s">
        <v>9</v>
      </c>
      <c r="C11" s="5">
        <v>247000</v>
      </c>
      <c r="E11" s="15">
        <v>70000</v>
      </c>
      <c r="F11" s="16">
        <v>1680000</v>
      </c>
      <c r="G11" s="16">
        <v>1535394</v>
      </c>
      <c r="H11" s="17">
        <v>144606</v>
      </c>
    </row>
    <row r="12" spans="1:8" ht="15" thickTop="1" x14ac:dyDescent="0.2">
      <c r="B12" s="1" t="s">
        <v>10</v>
      </c>
      <c r="C12" s="3">
        <f>SUM(C8:C11)</f>
        <v>485394</v>
      </c>
      <c r="E12" s="15">
        <v>75000</v>
      </c>
      <c r="F12" s="16">
        <v>1800000</v>
      </c>
      <c r="G12" s="16">
        <v>1610394</v>
      </c>
      <c r="H12" s="17">
        <v>189606</v>
      </c>
    </row>
    <row r="13" spans="1:8" ht="16.5" x14ac:dyDescent="0.25">
      <c r="A13" s="2" t="s">
        <v>11</v>
      </c>
      <c r="E13" s="15">
        <v>80000</v>
      </c>
      <c r="F13" s="16">
        <v>1920000</v>
      </c>
      <c r="G13" s="16">
        <v>1685394</v>
      </c>
      <c r="H13" s="17">
        <v>234606</v>
      </c>
    </row>
    <row r="14" spans="1:8" x14ac:dyDescent="0.2">
      <c r="B14" s="1" t="s">
        <v>12</v>
      </c>
      <c r="C14" s="4">
        <v>8</v>
      </c>
      <c r="E14" s="15">
        <v>85000</v>
      </c>
      <c r="F14" s="16">
        <v>2040000</v>
      </c>
      <c r="G14" s="16">
        <v>1760394</v>
      </c>
      <c r="H14" s="17">
        <v>279606</v>
      </c>
    </row>
    <row r="15" spans="1:8" x14ac:dyDescent="0.2">
      <c r="B15" s="1" t="s">
        <v>13</v>
      </c>
      <c r="C15" s="3">
        <f>Units_Sold*Material_Cost_per_Unit</f>
        <v>440000</v>
      </c>
      <c r="E15" s="15">
        <v>90000</v>
      </c>
      <c r="F15" s="16">
        <v>2160000</v>
      </c>
      <c r="G15" s="16">
        <v>1835394</v>
      </c>
      <c r="H15" s="17">
        <v>324606</v>
      </c>
    </row>
    <row r="16" spans="1:8" x14ac:dyDescent="0.2">
      <c r="B16" s="1" t="s">
        <v>14</v>
      </c>
      <c r="C16" s="4">
        <v>7</v>
      </c>
      <c r="E16" s="15">
        <v>95000</v>
      </c>
      <c r="F16" s="16">
        <v>2280000</v>
      </c>
      <c r="G16" s="16">
        <v>1910394</v>
      </c>
      <c r="H16" s="17">
        <v>369606</v>
      </c>
    </row>
    <row r="17" spans="1:8" ht="15" thickBot="1" x14ac:dyDescent="0.25">
      <c r="B17" s="6" t="s">
        <v>15</v>
      </c>
      <c r="C17" s="8">
        <f>Units_Sold*Manufacturing_Cost_per_Unit</f>
        <v>385000</v>
      </c>
      <c r="E17" s="15">
        <v>100000</v>
      </c>
      <c r="F17" s="16">
        <v>2400000</v>
      </c>
      <c r="G17" s="16">
        <v>1985394</v>
      </c>
      <c r="H17" s="17">
        <v>414606</v>
      </c>
    </row>
    <row r="18" spans="1:8" ht="15" thickTop="1" x14ac:dyDescent="0.2">
      <c r="B18" s="1" t="s">
        <v>16</v>
      </c>
      <c r="C18" s="3">
        <f>Total_Material_Cost+Total_Manufacturing_Cost</f>
        <v>825000</v>
      </c>
      <c r="E18" s="15">
        <v>105000</v>
      </c>
      <c r="F18" s="16">
        <v>2520000</v>
      </c>
      <c r="G18" s="16">
        <v>2060394</v>
      </c>
      <c r="H18" s="17">
        <v>459606</v>
      </c>
    </row>
    <row r="19" spans="1:8" ht="16.5" x14ac:dyDescent="0.25">
      <c r="A19" s="2" t="s">
        <v>17</v>
      </c>
      <c r="E19" s="15">
        <v>110000</v>
      </c>
      <c r="F19" s="16">
        <v>2640000</v>
      </c>
      <c r="G19" s="16">
        <v>2135394</v>
      </c>
      <c r="H19" s="17">
        <v>504606</v>
      </c>
    </row>
    <row r="20" spans="1:8" x14ac:dyDescent="0.2">
      <c r="B20" s="1" t="s">
        <v>18</v>
      </c>
      <c r="C20" s="3">
        <f>Total_Fixed_Expenses+Total_Variable_Expense</f>
        <v>1310394</v>
      </c>
      <c r="E20" s="15">
        <v>115000</v>
      </c>
      <c r="F20" s="16">
        <v>2760000</v>
      </c>
      <c r="G20" s="16">
        <v>2210394</v>
      </c>
      <c r="H20" s="17">
        <v>549606</v>
      </c>
    </row>
    <row r="21" spans="1:8" ht="15" thickBot="1" x14ac:dyDescent="0.25">
      <c r="B21" s="1" t="s">
        <v>19</v>
      </c>
      <c r="C21" s="3">
        <f>Total_Revenue-Total_Expenses</f>
        <v>9606</v>
      </c>
      <c r="E21" s="18">
        <v>120000</v>
      </c>
      <c r="F21" s="19">
        <v>2880000</v>
      </c>
      <c r="G21" s="19">
        <v>2285394</v>
      </c>
      <c r="H21" s="20">
        <v>594606</v>
      </c>
    </row>
  </sheetData>
  <mergeCells count="3">
    <mergeCell ref="A1:C1"/>
    <mergeCell ref="A2:C2"/>
    <mergeCell ref="E1:H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Break-Even Analysis</vt:lpstr>
      <vt:lpstr>Sheet2</vt:lpstr>
      <vt:lpstr>Sheet3</vt:lpstr>
      <vt:lpstr>Administrative</vt:lpstr>
      <vt:lpstr>Manufacturing_Cost_per_Unit</vt:lpstr>
      <vt:lpstr>Marketing</vt:lpstr>
      <vt:lpstr>Material_Cost_per_Unit</vt:lpstr>
      <vt:lpstr>Operating_Income</vt:lpstr>
      <vt:lpstr>Price_per_Unit</vt:lpstr>
      <vt:lpstr>rent</vt:lpstr>
      <vt:lpstr>Salary_and_Benefits</vt:lpstr>
      <vt:lpstr>Total_Expenses</vt:lpstr>
      <vt:lpstr>Total_Fixed_Expenses</vt:lpstr>
      <vt:lpstr>Total_Manufacturing_Cost</vt:lpstr>
      <vt:lpstr>Total_Material_Cost</vt:lpstr>
      <vt:lpstr>Total_Revenue</vt:lpstr>
      <vt:lpstr>Total_Variable_Expense</vt:lpstr>
      <vt:lpstr>Units_Sold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Murray, Terry R</dc:creator>
  <cp:lastModifiedBy>Long Nguyen</cp:lastModifiedBy>
  <dcterms:created xsi:type="dcterms:W3CDTF">2011-02-14T16:07:59Z</dcterms:created>
  <dcterms:modified xsi:type="dcterms:W3CDTF">2015-10-21T07:39:24Z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e68ab312-dc1a-4acf-83f5-d8ad3a1cced3</vt:lpwstr>
  </property>
</Properties>
</file>