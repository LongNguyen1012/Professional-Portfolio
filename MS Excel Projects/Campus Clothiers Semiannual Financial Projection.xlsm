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Long Nguyen\My-1st-Project\"/>
    </mc:Choice>
  </mc:AlternateContent>
  <bookViews>
    <workbookView xWindow="0" yWindow="0" windowWidth="28800" windowHeight="12435"/>
  </bookViews>
  <sheets>
    <sheet name="Semiannual Financial Projection" sheetId="1" r:id="rId1"/>
    <sheet name="3-D Pie Chart" sheetId="4" r:id="rId2"/>
    <sheet name="Sheet2" sheetId="2" r:id="rId3"/>
    <sheet name="Sheet3" sheetId="3" r:id="rId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C5" i="1" l="1"/>
  <c r="C6" i="1" s="1"/>
  <c r="D5" i="1"/>
  <c r="E5" i="1"/>
  <c r="E6" i="1" s="1"/>
  <c r="F5" i="1"/>
  <c r="G5" i="1"/>
  <c r="G6" i="1" s="1"/>
  <c r="D6" i="1"/>
  <c r="D16" i="1" s="1"/>
  <c r="F6" i="1"/>
  <c r="F16" i="1" s="1"/>
  <c r="C9" i="1"/>
  <c r="C14" i="1" s="1"/>
  <c r="D9" i="1"/>
  <c r="E9" i="1"/>
  <c r="E14" i="1" s="1"/>
  <c r="F9" i="1"/>
  <c r="G9" i="1"/>
  <c r="G14" i="1" s="1"/>
  <c r="C10" i="1"/>
  <c r="D10" i="1"/>
  <c r="E10" i="1"/>
  <c r="F10" i="1"/>
  <c r="G10" i="1"/>
  <c r="C11" i="1"/>
  <c r="D11" i="1"/>
  <c r="E11" i="1"/>
  <c r="F11" i="1"/>
  <c r="G11" i="1"/>
  <c r="C12" i="1"/>
  <c r="D12" i="1"/>
  <c r="E12" i="1"/>
  <c r="F12" i="1"/>
  <c r="G12" i="1"/>
  <c r="C13" i="1"/>
  <c r="D13" i="1"/>
  <c r="E13" i="1"/>
  <c r="F13" i="1"/>
  <c r="G13" i="1"/>
  <c r="D14" i="1"/>
  <c r="F14" i="1"/>
  <c r="B13" i="1"/>
  <c r="H13" i="1" s="1"/>
  <c r="B12" i="1"/>
  <c r="H12" i="1" s="1"/>
  <c r="B11" i="1"/>
  <c r="H11" i="1" s="1"/>
  <c r="B10" i="1"/>
  <c r="H10" i="1" s="1"/>
  <c r="B9" i="1"/>
  <c r="H9" i="1" s="1"/>
  <c r="B5" i="1"/>
  <c r="H5" i="1" s="1"/>
  <c r="H2" i="1"/>
  <c r="H4" i="1"/>
  <c r="G16" i="1" l="1"/>
  <c r="E16" i="1"/>
  <c r="C16" i="1"/>
  <c r="B14" i="1"/>
  <c r="H14" i="1" s="1"/>
  <c r="B6" i="1"/>
  <c r="B16" i="1" l="1"/>
  <c r="H16" i="1" s="1"/>
  <c r="H6" i="1"/>
</calcChain>
</file>

<file path=xl/sharedStrings.xml><?xml version="1.0" encoding="utf-8"?>
<sst xmlns="http://schemas.openxmlformats.org/spreadsheetml/2006/main" count="28" uniqueCount="23">
  <si>
    <t>Campus Clothiers</t>
  </si>
  <si>
    <t>January</t>
  </si>
  <si>
    <t>February</t>
  </si>
  <si>
    <t>March</t>
  </si>
  <si>
    <t>April</t>
  </si>
  <si>
    <t>May</t>
  </si>
  <si>
    <t>June</t>
  </si>
  <si>
    <t>Total</t>
  </si>
  <si>
    <t>Sales</t>
  </si>
  <si>
    <t>Cost of Goods Sold</t>
  </si>
  <si>
    <t>Gross Margin</t>
  </si>
  <si>
    <t>Expenses</t>
  </si>
  <si>
    <t>Bonus</t>
  </si>
  <si>
    <t>Commission</t>
  </si>
  <si>
    <t>Marketing</t>
  </si>
  <si>
    <t>Research and Development</t>
  </si>
  <si>
    <t>Support, Genenral, and Administrative</t>
  </si>
  <si>
    <t>Total Expenses</t>
  </si>
  <si>
    <t>Operating Income</t>
  </si>
  <si>
    <t>What-if Assumption</t>
  </si>
  <si>
    <t>Margin</t>
  </si>
  <si>
    <t>Revenue for Bonus</t>
  </si>
  <si>
    <t>Semiannual Projected gross Margin, Expenses, and Operating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</si>
</sst>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$&quot;#,##0.00_);\(&quot;$&quot;#,##0.00\)"/>
    <numFmt numFmtId="164" formatCode="m/d/yyyy;@"/>
  </numFmts>
  <fonts count="9" x14ac:knownFonts="1"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36"/>
      <color theme="1"/>
      <name val="Franklin Gothic Book"/>
      <family val="2"/>
      <scheme val="minor"/>
    </font>
    <font>
      <b/>
      <sz val="18"/>
      <color theme="1"/>
      <name val="Franklin Gothic Book"/>
      <family val="2"/>
      <scheme val="minor"/>
    </font>
    <font>
      <b/>
      <i/>
      <u/>
      <sz val="14"/>
      <color theme="1"/>
      <name val="Franklin Gothic Book"/>
      <family val="2"/>
      <scheme val="minor"/>
    </font>
    <font>
      <b/>
      <sz val="8"/>
      <color theme="1"/>
      <name val="Franklin Gothic Book"/>
      <family val="2"/>
      <scheme val="minor"/>
    </font>
    <font>
      <sz val="8"/>
      <color theme="1"/>
      <name val="Franklin Gothic Book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8">
    <xf numFmtId="0" fontId="0" fillId="0" borderId="0" xfId="0"/>
    <xf numFmtId="7" fontId="0" fillId="0" borderId="0" xfId="0" applyNumberFormat="1"/>
    <xf numFmtId="3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left" indent="1"/>
    </xf>
    <xf numFmtId="0" fontId="4" fillId="2" borderId="0" xfId="0" applyFont="1" applyFill="1"/>
    <xf numFmtId="0" fontId="0" fillId="2" borderId="0" xfId="0" applyFill="1"/>
    <xf numFmtId="0" fontId="5" fillId="2" borderId="0" xfId="0" applyFont="1" applyFill="1"/>
    <xf numFmtId="164" fontId="0" fillId="2" borderId="0" xfId="0" applyNumberFormat="1" applyFill="1"/>
    <xf numFmtId="0" fontId="2" fillId="0" borderId="1" xfId="1"/>
    <xf numFmtId="0" fontId="2" fillId="0" borderId="1" xfId="1" applyAlignment="1">
      <alignment textRotation="45"/>
    </xf>
    <xf numFmtId="7" fontId="2" fillId="0" borderId="1" xfId="1" applyNumberFormat="1"/>
    <xf numFmtId="0" fontId="1" fillId="2" borderId="0" xfId="0" applyFont="1" applyFill="1"/>
    <xf numFmtId="7" fontId="3" fillId="2" borderId="0" xfId="0" applyNumberFormat="1" applyFont="1" applyFill="1"/>
    <xf numFmtId="0" fontId="6" fillId="0" borderId="0" xfId="0" applyFont="1"/>
    <xf numFmtId="0" fontId="7" fillId="0" borderId="0" xfId="0" applyFont="1" applyAlignment="1">
      <alignment horizontal="left" indent="1"/>
    </xf>
    <xf numFmtId="4" fontId="8" fillId="0" borderId="0" xfId="0" applyNumberFormat="1" applyFont="1"/>
    <xf numFmtId="10" fontId="8" fillId="0" borderId="0" xfId="0" applyNumberFormat="1" applyFont="1"/>
  </cellXfs>
  <cellStyles count="2">
    <cellStyle name="Normal" xfId="0" builtinId="0"/>
    <cellStyle name="Total" xfId="1" builtinId="2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u="sng"/>
              <a:t>Semiannual Financial</a:t>
            </a:r>
            <a:r>
              <a:rPr lang="en-US" u="sng" baseline="0"/>
              <a:t> Projection</a:t>
            </a:r>
            <a:endParaRPr lang="en-US" u="sng"/>
          </a:p>
        </c:rich>
      </c:tx>
      <c:layout/>
      <c:overlay val="1"/>
    </c:title>
    <c:autoTitleDeleted val="0"/>
    <c:view3D>
      <c:rotX val="30"/>
      <c:rotY val="25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1.6111112008094997E-2"/>
          <c:y val="2.0191472393964564E-2"/>
          <c:w val="0.9677777759838101"/>
          <c:h val="0.95557876073327797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 prstMaterial="softEdge">
              <a:bevelT w="635000" h="635000"/>
            </a:sp3d>
          </c:spPr>
          <c:dPt>
            <c:idx val="0"/>
            <c:bubble3D val="0"/>
            <c:spPr>
              <a:solidFill>
                <a:srgbClr val="00B050"/>
              </a:solidFill>
              <a:scene3d>
                <a:camera prst="orthographicFront"/>
                <a:lightRig rig="threePt" dir="t"/>
              </a:scene3d>
              <a:sp3d prstMaterial="softEdge">
                <a:bevelT w="635000" h="635000"/>
              </a:sp3d>
            </c:spPr>
          </c:dPt>
          <c:dPt>
            <c:idx val="1"/>
            <c:bubble3D val="0"/>
            <c:spPr>
              <a:solidFill>
                <a:srgbClr val="FFFF00"/>
              </a:solidFill>
              <a:scene3d>
                <a:camera prst="orthographicFront"/>
                <a:lightRig rig="threePt" dir="t"/>
              </a:scene3d>
              <a:sp3d prstMaterial="softEdge">
                <a:bevelT w="635000" h="635000"/>
              </a:sp3d>
            </c:spPr>
          </c:dPt>
          <c:dPt>
            <c:idx val="2"/>
            <c:bubble3D val="0"/>
            <c:spPr>
              <a:solidFill>
                <a:srgbClr val="00B0F0"/>
              </a:solidFill>
              <a:scene3d>
                <a:camera prst="orthographicFront"/>
                <a:lightRig rig="threePt" dir="t"/>
              </a:scene3d>
              <a:sp3d prstMaterial="softEdge">
                <a:bevelT w="635000" h="635000"/>
              </a:sp3d>
            </c:spPr>
          </c:dPt>
          <c:dPt>
            <c:idx val="3"/>
            <c:bubble3D val="0"/>
            <c:spPr>
              <a:solidFill>
                <a:srgbClr val="FF0000"/>
              </a:solidFill>
              <a:scene3d>
                <a:camera prst="orthographicFront"/>
                <a:lightRig rig="threePt" dir="t"/>
              </a:scene3d>
              <a:sp3d prstMaterial="softEdge">
                <a:bevelT w="635000" h="635000"/>
              </a:sp3d>
            </c:spPr>
          </c:dPt>
          <c:dPt>
            <c:idx val="4"/>
            <c:bubble3D val="0"/>
            <c:spPr>
              <a:solidFill>
                <a:srgbClr val="0070C0"/>
              </a:solidFill>
              <a:scene3d>
                <a:camera prst="orthographicFront"/>
                <a:lightRig rig="threePt" dir="t"/>
              </a:scene3d>
              <a:sp3d prstMaterial="softEdge">
                <a:bevelT w="635000" h="635000"/>
              </a:sp3d>
            </c:spPr>
          </c:dPt>
          <c:dPt>
            <c:idx val="5"/>
            <c:bubble3D val="0"/>
            <c:explosion val="28"/>
            <c:spPr>
              <a:solidFill>
                <a:srgbClr val="FFC000"/>
              </a:solidFill>
              <a:scene3d>
                <a:camera prst="orthographicFront"/>
                <a:lightRig rig="threePt" dir="t"/>
              </a:scene3d>
              <a:sp3d prstMaterial="softEdge">
                <a:bevelT w="635000" h="635000"/>
              </a:sp3d>
            </c:spPr>
          </c:dPt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'Semiannual Financial Projection'!$B$3:$G$3</c:f>
              <c:strCache>
                <c:ptCount val="6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</c:strCache>
            </c:strRef>
          </c:cat>
          <c:val>
            <c:numRef>
              <c:f>'Semiannual Financial Projection'!$B$16:$G$16</c:f>
              <c:numCache>
                <c:formatCode>"$"#,##0.00_);\("$"#,##0.00\)</c:formatCode>
                <c:ptCount val="6"/>
                <c:pt idx="0">
                  <c:v>879816.55319999997</c:v>
                </c:pt>
                <c:pt idx="1">
                  <c:v>1688949.7990000006</c:v>
                </c:pt>
                <c:pt idx="2">
                  <c:v>2433102.6161999991</c:v>
                </c:pt>
                <c:pt idx="3">
                  <c:v>1152808.3177999998</c:v>
                </c:pt>
                <c:pt idx="4">
                  <c:v>1187347.8838</c:v>
                </c:pt>
                <c:pt idx="5">
                  <c:v>2117151.1414000001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>
    <tabColor theme="5"/>
  </sheetPr>
  <sheetViews>
    <sheetView zoomScale="119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8550" cy="629130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Trek">
  <a:themeElements>
    <a:clrScheme name="Trek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Trek">
      <a:majorFont>
        <a:latin typeface="Franklin Gothic Medium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Franklin Gothic Book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Trek">
      <a:fillStyleLst>
        <a:solidFill>
          <a:schemeClr val="phClr"/>
        </a:solidFill>
        <a:gradFill rotWithShape="1">
          <a:gsLst>
            <a:gs pos="0">
              <a:schemeClr val="phClr">
                <a:tint val="30000"/>
                <a:satMod val="250000"/>
              </a:schemeClr>
            </a:gs>
            <a:gs pos="72000">
              <a:schemeClr val="phClr">
                <a:tint val="75000"/>
                <a:satMod val="210000"/>
              </a:schemeClr>
            </a:gs>
            <a:gs pos="100000">
              <a:schemeClr val="phClr">
                <a:tint val="85000"/>
                <a:satMod val="21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5000"/>
                <a:shade val="85000"/>
                <a:satMod val="230000"/>
              </a:schemeClr>
            </a:gs>
            <a:gs pos="25000">
              <a:schemeClr val="phClr">
                <a:tint val="90000"/>
                <a:shade val="70000"/>
                <a:satMod val="220000"/>
              </a:schemeClr>
            </a:gs>
            <a:gs pos="50000">
              <a:schemeClr val="phClr">
                <a:tint val="90000"/>
                <a:shade val="58000"/>
                <a:satMod val="225000"/>
              </a:schemeClr>
            </a:gs>
            <a:gs pos="65000">
              <a:schemeClr val="phClr">
                <a:tint val="90000"/>
                <a:shade val="58000"/>
                <a:satMod val="225000"/>
              </a:schemeClr>
            </a:gs>
            <a:gs pos="80000">
              <a:schemeClr val="phClr">
                <a:tint val="90000"/>
                <a:shade val="69000"/>
                <a:satMod val="220000"/>
              </a:schemeClr>
            </a:gs>
            <a:gs pos="100000">
              <a:schemeClr val="phClr">
                <a:tint val="77000"/>
                <a:shade val="80000"/>
                <a:satMod val="230000"/>
              </a:schemeClr>
            </a:gs>
          </a:gsLst>
          <a:lin ang="5400000" scaled="1"/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76200" dist="50800" dir="5400000" rotWithShape="0">
              <a:srgbClr val="4E3B30">
                <a:alpha val="60000"/>
              </a:srgbClr>
            </a:outerShdw>
          </a:effectLst>
        </a:effectStyle>
        <a:effectStyle>
          <a:effectLst>
            <a:outerShdw blurRad="76200" dist="50800" dir="5400000" rotWithShape="0">
              <a:srgbClr val="4E3B3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0"/>
            </a:lightRig>
          </a:scene3d>
          <a:sp3d prstMaterial="metal">
            <a:bevelT w="10000" h="10000"/>
          </a:sp3d>
        </a:effectStyle>
        <a:effectStyle>
          <a:effectLst>
            <a:outerShdw blurRad="76200" dist="50800" dir="5400000" rotWithShape="0">
              <a:srgbClr val="4E3B30">
                <a:alpha val="60000"/>
              </a:srgbClr>
            </a:outerShdw>
          </a:effectLst>
          <a:scene3d>
            <a:camera prst="obliqueTopLeft" fov="600000">
              <a:rot lat="0" lon="0" rev="0"/>
            </a:camera>
            <a:lightRig rig="balanced" dir="t">
              <a:rot lat="0" lon="0" rev="19200000"/>
            </a:lightRig>
          </a:scene3d>
          <a:sp3d contourW="12700" prstMaterial="matte">
            <a:bevelT w="60000" h="50800"/>
            <a:contourClr>
              <a:schemeClr val="phClr">
                <a:shade val="60000"/>
                <a:satMod val="110000"/>
              </a:schemeClr>
            </a:contourClr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8000"/>
                <a:satMod val="105000"/>
              </a:schemeClr>
            </a:duotone>
          </a:blip>
          <a:tile tx="0" ty="0" sx="95000" sy="95000" flip="none" algn="t"/>
        </a:blipFill>
        <a:blipFill>
          <a:blip xmlns:r="http://schemas.openxmlformats.org/officeDocument/2006/relationships" r:embed="rId2">
            <a:duotone>
              <a:schemeClr val="phClr">
                <a:shade val="30000"/>
                <a:satMod val="455000"/>
              </a:schemeClr>
              <a:schemeClr val="phClr">
                <a:tint val="95000"/>
                <a:satMod val="120000"/>
              </a:schemeClr>
            </a:duotone>
          </a:blip>
          <a:stretch>
            <a:fillRect/>
          </a:stretch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A1:H25"/>
  <sheetViews>
    <sheetView tabSelected="1" zoomScaleNormal="100" workbookViewId="0">
      <selection activeCell="F10" sqref="F10"/>
    </sheetView>
  </sheetViews>
  <sheetFormatPr defaultRowHeight="15.75" x14ac:dyDescent="0.3"/>
  <cols>
    <col min="1" max="1" width="35.77734375" style="3" customWidth="1"/>
    <col min="2" max="7" width="14.77734375" customWidth="1"/>
    <col min="8" max="8" width="15.77734375" customWidth="1"/>
  </cols>
  <sheetData>
    <row r="1" spans="1:8" ht="48" x14ac:dyDescent="0.8">
      <c r="A1" s="5" t="s">
        <v>0</v>
      </c>
      <c r="B1" s="6"/>
      <c r="C1" s="6"/>
      <c r="D1" s="6"/>
      <c r="E1" s="6"/>
      <c r="F1" s="6"/>
      <c r="G1" s="6"/>
      <c r="H1" s="6"/>
    </row>
    <row r="2" spans="1:8" ht="24" x14ac:dyDescent="0.4">
      <c r="A2" s="7" t="s">
        <v>22</v>
      </c>
      <c r="B2" s="6"/>
      <c r="C2" s="6"/>
      <c r="D2" s="6"/>
      <c r="E2" s="6"/>
      <c r="F2" s="6"/>
      <c r="G2" s="6"/>
      <c r="H2" s="8">
        <f ca="1">NOW()</f>
        <v>42298.048492013892</v>
      </c>
    </row>
    <row r="3" spans="1:8" ht="49.5" thickBot="1" x14ac:dyDescent="0.35">
      <c r="A3" s="9"/>
      <c r="B3" s="10" t="s">
        <v>1</v>
      </c>
      <c r="C3" s="10" t="s">
        <v>2</v>
      </c>
      <c r="D3" s="10" t="s">
        <v>3</v>
      </c>
      <c r="E3" s="10" t="s">
        <v>4</v>
      </c>
      <c r="F3" s="10" t="s">
        <v>5</v>
      </c>
      <c r="G3" s="10" t="s">
        <v>6</v>
      </c>
      <c r="H3" s="10" t="s">
        <v>7</v>
      </c>
    </row>
    <row r="4" spans="1:8" ht="16.5" thickTop="1" x14ac:dyDescent="0.3">
      <c r="A4" s="12" t="s">
        <v>8</v>
      </c>
      <c r="B4" s="1">
        <v>3383909.82</v>
      </c>
      <c r="C4" s="1">
        <v>6880576.1500000004</v>
      </c>
      <c r="D4" s="1">
        <v>9742702.3699999992</v>
      </c>
      <c r="E4" s="1">
        <v>4818493.53</v>
      </c>
      <c r="F4" s="1">
        <v>4566722.63</v>
      </c>
      <c r="G4" s="1">
        <v>8527504.3900000006</v>
      </c>
      <c r="H4" s="1">
        <f>SUM(B4:G4)</f>
        <v>37919908.890000001</v>
      </c>
    </row>
    <row r="5" spans="1:8" x14ac:dyDescent="0.3">
      <c r="A5" s="4" t="s">
        <v>9</v>
      </c>
      <c r="B5" s="2">
        <f>B4*(1-$B$21)</f>
        <v>1319724.8297999999</v>
      </c>
      <c r="C5" s="2">
        <f t="shared" ref="C5:G5" si="0">C4*(1-$B$21)</f>
        <v>2683424.6985000004</v>
      </c>
      <c r="D5" s="2">
        <f t="shared" si="0"/>
        <v>3799653.9242999996</v>
      </c>
      <c r="E5" s="2">
        <f t="shared" si="0"/>
        <v>1879212.4767000002</v>
      </c>
      <c r="F5" s="2">
        <f t="shared" si="0"/>
        <v>1781021.8256999999</v>
      </c>
      <c r="G5" s="2">
        <f t="shared" si="0"/>
        <v>3325726.7121000001</v>
      </c>
      <c r="H5" s="2">
        <f t="shared" ref="H5:H6" si="1">SUM(B5:G5)</f>
        <v>14788764.467100002</v>
      </c>
    </row>
    <row r="6" spans="1:8" ht="16.5" thickBot="1" x14ac:dyDescent="0.35">
      <c r="A6" s="12" t="s">
        <v>10</v>
      </c>
      <c r="B6" s="11">
        <f>B4-B5</f>
        <v>2064184.9901999999</v>
      </c>
      <c r="C6" s="11">
        <f t="shared" ref="C6:G6" si="2">C4-C5</f>
        <v>4197151.4515000004</v>
      </c>
      <c r="D6" s="11">
        <f t="shared" si="2"/>
        <v>5943048.4456999991</v>
      </c>
      <c r="E6" s="11">
        <f t="shared" si="2"/>
        <v>2939281.0532999998</v>
      </c>
      <c r="F6" s="11">
        <f t="shared" si="2"/>
        <v>2785700.8043</v>
      </c>
      <c r="G6" s="11">
        <f t="shared" si="2"/>
        <v>5201777.6779000005</v>
      </c>
      <c r="H6" s="11">
        <f t="shared" si="1"/>
        <v>23131144.422899999</v>
      </c>
    </row>
    <row r="7" spans="1:8" ht="16.5" thickTop="1" x14ac:dyDescent="0.3"/>
    <row r="8" spans="1:8" x14ac:dyDescent="0.3">
      <c r="A8" s="3" t="s">
        <v>11</v>
      </c>
    </row>
    <row r="9" spans="1:8" x14ac:dyDescent="0.3">
      <c r="A9" s="4" t="s">
        <v>12</v>
      </c>
      <c r="B9" s="1">
        <f>IF(B4&gt;=$B$24,$B$19,0)</f>
        <v>0</v>
      </c>
      <c r="C9" s="1">
        <f t="shared" ref="C9:G9" si="3">IF(C4&gt;=$B$24,$B$19,0)</f>
        <v>100000</v>
      </c>
      <c r="D9" s="1">
        <f t="shared" si="3"/>
        <v>100000</v>
      </c>
      <c r="E9" s="1">
        <f t="shared" si="3"/>
        <v>100000</v>
      </c>
      <c r="F9" s="1">
        <f t="shared" si="3"/>
        <v>0</v>
      </c>
      <c r="G9" s="1">
        <f t="shared" si="3"/>
        <v>100000</v>
      </c>
      <c r="H9" s="1">
        <f t="shared" ref="H9:H14" si="4">SUM(B9:G9)</f>
        <v>400000</v>
      </c>
    </row>
    <row r="10" spans="1:8" x14ac:dyDescent="0.3">
      <c r="A10" s="4" t="s">
        <v>13</v>
      </c>
      <c r="B10" s="2">
        <f>B4*$B$20</f>
        <v>109977.06915</v>
      </c>
      <c r="C10" s="2">
        <f t="shared" ref="C10:G10" si="5">C4*$B$20</f>
        <v>223618.72487500001</v>
      </c>
      <c r="D10" s="2">
        <f t="shared" si="5"/>
        <v>316637.82702500001</v>
      </c>
      <c r="E10" s="2">
        <f t="shared" si="5"/>
        <v>156601.03972500001</v>
      </c>
      <c r="F10" s="2">
        <f t="shared" si="5"/>
        <v>148418.48547499999</v>
      </c>
      <c r="G10" s="2">
        <f t="shared" si="5"/>
        <v>277143.89267500001</v>
      </c>
      <c r="H10" s="2">
        <f t="shared" si="4"/>
        <v>1232397.038925</v>
      </c>
    </row>
    <row r="11" spans="1:8" x14ac:dyDescent="0.3">
      <c r="A11" s="4" t="s">
        <v>14</v>
      </c>
      <c r="B11" s="2">
        <f>B4*$B$22</f>
        <v>304551.88379999995</v>
      </c>
      <c r="C11" s="2">
        <f t="shared" ref="C11:G11" si="6">C4*$B$22</f>
        <v>619251.85349999997</v>
      </c>
      <c r="D11" s="2">
        <f t="shared" si="6"/>
        <v>876843.21329999994</v>
      </c>
      <c r="E11" s="2">
        <f t="shared" si="6"/>
        <v>433664.41769999999</v>
      </c>
      <c r="F11" s="2">
        <f t="shared" si="6"/>
        <v>411005.0367</v>
      </c>
      <c r="G11" s="2">
        <f t="shared" si="6"/>
        <v>767475.39510000008</v>
      </c>
      <c r="H11" s="2">
        <f t="shared" si="4"/>
        <v>3412791.8000999996</v>
      </c>
    </row>
    <row r="12" spans="1:8" x14ac:dyDescent="0.3">
      <c r="A12" s="4" t="s">
        <v>15</v>
      </c>
      <c r="B12" s="2">
        <f>B4*$B$23</f>
        <v>194574.81464999999</v>
      </c>
      <c r="C12" s="2">
        <f t="shared" ref="C12:G12" si="7">C4*$B$23</f>
        <v>395633.12862500001</v>
      </c>
      <c r="D12" s="2">
        <f t="shared" si="7"/>
        <v>560205.38627499994</v>
      </c>
      <c r="E12" s="2">
        <f t="shared" si="7"/>
        <v>277063.37797500001</v>
      </c>
      <c r="F12" s="2">
        <f t="shared" si="7"/>
        <v>262586.551225</v>
      </c>
      <c r="G12" s="2">
        <f t="shared" si="7"/>
        <v>490331.50242500007</v>
      </c>
      <c r="H12" s="2">
        <f t="shared" si="4"/>
        <v>2180394.7611750001</v>
      </c>
    </row>
    <row r="13" spans="1:8" x14ac:dyDescent="0.3">
      <c r="A13" s="4" t="s">
        <v>16</v>
      </c>
      <c r="B13" s="2">
        <f>B4*$B$25</f>
        <v>575264.66940000001</v>
      </c>
      <c r="C13" s="2">
        <f t="shared" ref="C13:G13" si="8">C4*$B$25</f>
        <v>1169697.9455000001</v>
      </c>
      <c r="D13" s="2">
        <f t="shared" si="8"/>
        <v>1656259.4028999999</v>
      </c>
      <c r="E13" s="2">
        <f t="shared" si="8"/>
        <v>819143.90010000009</v>
      </c>
      <c r="F13" s="2">
        <f t="shared" si="8"/>
        <v>776342.84710000001</v>
      </c>
      <c r="G13" s="2">
        <f t="shared" si="8"/>
        <v>1449675.7463000002</v>
      </c>
      <c r="H13" s="2">
        <f t="shared" si="4"/>
        <v>6446384.5112999994</v>
      </c>
    </row>
    <row r="14" spans="1:8" ht="16.5" thickBot="1" x14ac:dyDescent="0.35">
      <c r="A14" s="9" t="s">
        <v>17</v>
      </c>
      <c r="B14" s="11">
        <f>SUM(B9:B13)</f>
        <v>1184368.4369999999</v>
      </c>
      <c r="C14" s="11">
        <f t="shared" ref="C14:G14" si="9">SUM(C9:C13)</f>
        <v>2508201.6524999999</v>
      </c>
      <c r="D14" s="11">
        <f t="shared" si="9"/>
        <v>3509945.8295</v>
      </c>
      <c r="E14" s="11">
        <f t="shared" si="9"/>
        <v>1786472.7355</v>
      </c>
      <c r="F14" s="11">
        <f t="shared" si="9"/>
        <v>1598352.9205</v>
      </c>
      <c r="G14" s="11">
        <f t="shared" si="9"/>
        <v>3084626.5365000004</v>
      </c>
      <c r="H14" s="11">
        <f t="shared" si="4"/>
        <v>13671968.111499999</v>
      </c>
    </row>
    <row r="15" spans="1:8" ht="16.5" thickTop="1" x14ac:dyDescent="0.3"/>
    <row r="16" spans="1:8" x14ac:dyDescent="0.3">
      <c r="A16" s="12" t="s">
        <v>18</v>
      </c>
      <c r="B16" s="13">
        <f>B6-B14</f>
        <v>879816.55319999997</v>
      </c>
      <c r="C16" s="13">
        <f t="shared" ref="C16:G16" si="10">C6-C14</f>
        <v>1688949.7990000006</v>
      </c>
      <c r="D16" s="13">
        <f t="shared" si="10"/>
        <v>2433102.6161999991</v>
      </c>
      <c r="E16" s="13">
        <f t="shared" si="10"/>
        <v>1152808.3177999998</v>
      </c>
      <c r="F16" s="13">
        <f t="shared" si="10"/>
        <v>1187347.8838</v>
      </c>
      <c r="G16" s="13">
        <f t="shared" si="10"/>
        <v>2117151.1414000001</v>
      </c>
      <c r="H16" s="13">
        <f>SUM(B16:G16)</f>
        <v>9459176.3114</v>
      </c>
    </row>
    <row r="18" spans="1:2" ht="19.5" x14ac:dyDescent="0.35">
      <c r="A18" s="14" t="s">
        <v>19</v>
      </c>
    </row>
    <row r="19" spans="1:2" x14ac:dyDescent="0.3">
      <c r="A19" s="15" t="s">
        <v>12</v>
      </c>
      <c r="B19" s="16">
        <v>100000</v>
      </c>
    </row>
    <row r="20" spans="1:2" x14ac:dyDescent="0.3">
      <c r="A20" s="15" t="s">
        <v>13</v>
      </c>
      <c r="B20" s="17">
        <v>3.2500000000000001E-2</v>
      </c>
    </row>
    <row r="21" spans="1:2" x14ac:dyDescent="0.3">
      <c r="A21" s="15" t="s">
        <v>20</v>
      </c>
      <c r="B21" s="17">
        <v>0.61</v>
      </c>
    </row>
    <row r="22" spans="1:2" x14ac:dyDescent="0.3">
      <c r="A22" s="15" t="s">
        <v>14</v>
      </c>
      <c r="B22" s="17">
        <v>0.09</v>
      </c>
    </row>
    <row r="23" spans="1:2" x14ac:dyDescent="0.3">
      <c r="A23" s="15" t="s">
        <v>15</v>
      </c>
      <c r="B23" s="17">
        <v>5.7500000000000002E-2</v>
      </c>
    </row>
    <row r="24" spans="1:2" x14ac:dyDescent="0.3">
      <c r="A24" s="15" t="s">
        <v>21</v>
      </c>
      <c r="B24" s="16">
        <v>4750000</v>
      </c>
    </row>
    <row r="25" spans="1:2" x14ac:dyDescent="0.3">
      <c r="A25" s="15" t="s">
        <v>16</v>
      </c>
      <c r="B25" s="17">
        <v>0.17</v>
      </c>
    </row>
  </sheetData>
  <pageMargins left="0.7" right="0.7" top="0.75" bottom="0.75" header="0.3" footer="0.3"/>
  <pageSetup scale="7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Semiannual Financial Projection</vt:lpstr>
      <vt:lpstr>Sheet2</vt:lpstr>
      <vt:lpstr>Sheet3</vt:lpstr>
      <vt:lpstr>3-D Pie Chart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Nguyen, Long H</dc:creator>
  <cp:lastModifiedBy>Long Nguyen</cp:lastModifiedBy>
  <cp:lastPrinted>2010-09-22T15:37:55Z</cp:lastPrinted>
  <dcterms:created xsi:type="dcterms:W3CDTF">2010-09-20T15:14:28Z</dcterms:created>
  <dcterms:modified xsi:type="dcterms:W3CDTF">2015-10-21T08:09:49Z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ea8604cb-f569-47fb-ac5e-671dbea28c15</vt:lpwstr>
  </property>
</Properties>
</file>