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Blance Due" sheetId="1" r:id="rId1"/>
    <sheet name="Bar Chart" sheetId="4" r:id="rId2"/>
    <sheet name="Sheet2" sheetId="2" r:id="rId3"/>
    <sheet name="Sheet3" sheetId="3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alcMode="manual"/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G5" i="1"/>
  <c r="G6" i="1"/>
  <c r="G7" i="1"/>
  <c r="G8" i="1"/>
  <c r="G9" i="1"/>
  <c r="G10" i="1"/>
  <c r="F4" i="1"/>
  <c r="G4" i="1" s="1"/>
  <c r="C14" i="1"/>
  <c r="D14" i="1"/>
  <c r="E14" i="1"/>
  <c r="C13" i="1"/>
  <c r="D13" i="1"/>
  <c r="E13" i="1"/>
  <c r="C12" i="1"/>
  <c r="D12" i="1"/>
  <c r="E12" i="1"/>
  <c r="B14" i="1"/>
  <c r="B13" i="1"/>
  <c r="B12" i="1"/>
  <c r="C11" i="1"/>
  <c r="D11" i="1"/>
  <c r="E11" i="1"/>
  <c r="B11" i="1"/>
  <c r="F14" i="1" l="1"/>
  <c r="F12" i="1"/>
  <c r="F13" i="1"/>
  <c r="F11" i="1"/>
  <c r="G11" i="1"/>
  <c r="G12" i="1"/>
  <c r="G13" i="1"/>
  <c r="G14" i="1"/>
</calcChain>
</file>

<file path=xl/sharedStrings.xml><?xml version="1.0" encoding="utf-8"?>
<sst xmlns="http://schemas.openxmlformats.org/spreadsheetml/2006/main" count="20" uniqueCount="20">
  <si>
    <t>Hernandez, Abraham</t>
  </si>
  <si>
    <t>Mc Cartan, John</t>
  </si>
  <si>
    <t>Paoli, Pam</t>
  </si>
  <si>
    <t>Ramirez, Alberto</t>
  </si>
  <si>
    <t>Vaughn, Noah</t>
  </si>
  <si>
    <t>Xiong, James</t>
  </si>
  <si>
    <t>Costa, Dan</t>
  </si>
  <si>
    <t>Customer</t>
  </si>
  <si>
    <t>Beginning Balance</t>
  </si>
  <si>
    <t>Credits</t>
  </si>
  <si>
    <t>Payments</t>
  </si>
  <si>
    <t>Purchases</t>
  </si>
  <si>
    <t>Service Charge</t>
  </si>
  <si>
    <t>New Balance</t>
  </si>
  <si>
    <t>Total</t>
  </si>
  <si>
    <t>Jackson's Bright Ideas</t>
  </si>
  <si>
    <t>Monthly Balance Due Report</t>
  </si>
  <si>
    <t>Highest</t>
  </si>
  <si>
    <t>Lowest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</si>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</sst>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10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Franklin Gothic Book"/>
      <family val="2"/>
      <scheme val="major"/>
    </font>
    <font>
      <b/>
      <sz val="11"/>
      <color theme="1"/>
      <name val="Arial"/>
      <family val="2"/>
      <scheme val="minor"/>
    </font>
    <font>
      <b/>
      <sz val="28"/>
      <color theme="3"/>
      <name val="Franklin Gothic Book"/>
      <family val="2"/>
      <scheme val="maj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2"/>
      <color rgb="FF000000"/>
      <name val="Arial"/>
      <family val="2"/>
    </font>
    <font>
      <b/>
      <sz val="11"/>
      <color theme="3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9" fillId="0" borderId="8" applyNumberFormat="0" applyFill="0" applyAlignment="0" applyProtection="0"/>
  </cellStyleXfs>
  <cellXfs count="17">
    <xf numFmtId="0" fontId="0" fillId="0" borderId="0" xfId="0"/>
    <xf numFmtId="0" fontId="5" fillId="0" borderId="0" xfId="0" applyFont="1"/>
    <xf numFmtId="43" fontId="5" fillId="0" borderId="0" xfId="1" applyFont="1"/>
    <xf numFmtId="0" fontId="6" fillId="0" borderId="0" xfId="0" applyFont="1"/>
    <xf numFmtId="43" fontId="6" fillId="0" borderId="0" xfId="1" applyFont="1" applyAlignment="1">
      <alignment horizontal="right"/>
    </xf>
    <xf numFmtId="0" fontId="7" fillId="0" borderId="1" xfId="4" applyFont="1"/>
    <xf numFmtId="0" fontId="8" fillId="0" borderId="0" xfId="0" applyFont="1"/>
    <xf numFmtId="7" fontId="5" fillId="0" borderId="0" xfId="1" applyNumberFormat="1" applyFont="1"/>
    <xf numFmtId="7" fontId="7" fillId="0" borderId="1" xfId="4" applyNumberFormat="1" applyFont="1"/>
    <xf numFmtId="7" fontId="5" fillId="0" borderId="0" xfId="2" applyNumberFormat="1" applyFont="1"/>
    <xf numFmtId="0" fontId="9" fillId="0" borderId="8" xfId="5" applyAlignment="1">
      <alignment horizontal="center" wrapText="1"/>
    </xf>
    <xf numFmtId="0" fontId="4" fillId="2" borderId="2" xfId="3" applyFont="1" applyFill="1" applyBorder="1" applyAlignment="1">
      <alignment horizontal="center"/>
    </xf>
    <xf numFmtId="0" fontId="4" fillId="2" borderId="3" xfId="3" applyFont="1" applyFill="1" applyBorder="1" applyAlignment="1">
      <alignment horizontal="center"/>
    </xf>
    <xf numFmtId="0" fontId="4" fillId="2" borderId="4" xfId="3" applyFont="1" applyFill="1" applyBorder="1" applyAlignment="1">
      <alignment horizontal="center"/>
    </xf>
    <xf numFmtId="0" fontId="2" fillId="2" borderId="5" xfId="3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0" fontId="2" fillId="2" borderId="7" xfId="3" applyFont="1" applyFill="1" applyBorder="1" applyAlignment="1">
      <alignment horizontal="center"/>
    </xf>
  </cellXfs>
  <cellStyles count="6">
    <cellStyle name="Comma" xfId="1" builtinId="3"/>
    <cellStyle name="Currency" xfId="2" builtinId="4"/>
    <cellStyle name="Heading 3" xfId="5" builtinId="18"/>
    <cellStyle name="Normal" xfId="0" builtinId="0"/>
    <cellStyle name="Title" xfId="3" builtinId="15"/>
    <cellStyle name="Total" xfId="4" builtinId="25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Balance Due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'Blance Due'!$A$4:$A$10</c:f>
              <c:strCache>
                <c:ptCount val="7"/>
                <c:pt idx="0">
                  <c:v>Costa, Dan</c:v>
                </c:pt>
                <c:pt idx="1">
                  <c:v>Hernandez, Abraham</c:v>
                </c:pt>
                <c:pt idx="2">
                  <c:v>Mc Cartan, John</c:v>
                </c:pt>
                <c:pt idx="3">
                  <c:v>Paoli, Pam</c:v>
                </c:pt>
                <c:pt idx="4">
                  <c:v>Ramirez, Alberto</c:v>
                </c:pt>
                <c:pt idx="5">
                  <c:v>Vaughn, Noah</c:v>
                </c:pt>
                <c:pt idx="6">
                  <c:v>Xiong, James</c:v>
                </c:pt>
              </c:strCache>
            </c:strRef>
          </c:cat>
          <c:val>
            <c:numRef>
              <c:f>'Blance Due'!$G$4:$G$10</c:f>
              <c:numCache>
                <c:formatCode>_(* #,##0.00_);_(* \(#,##0.00\);_(* "-"??_);_(@_)</c:formatCode>
                <c:ptCount val="7"/>
                <c:pt idx="0" formatCode="&quot;$&quot;#,##0.00_);\(&quot;$&quot;#,##0.00\)">
                  <c:v>112.31612500000003</c:v>
                </c:pt>
                <c:pt idx="1">
                  <c:v>60.999475000000011</c:v>
                </c:pt>
                <c:pt idx="2">
                  <c:v>1187.9863250000001</c:v>
                </c:pt>
                <c:pt idx="3">
                  <c:v>131.9014</c:v>
                </c:pt>
                <c:pt idx="4">
                  <c:v>547.05580000000009</c:v>
                </c:pt>
                <c:pt idx="5">
                  <c:v>452.85402500000009</c:v>
                </c:pt>
                <c:pt idx="6">
                  <c:v>425.89594999999997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825248080"/>
        <c:axId val="825249760"/>
        <c:axId val="0"/>
      </c:bar3DChart>
      <c:catAx>
        <c:axId val="8252480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825249760"/>
        <c:crosses val="autoZero"/>
        <c:auto val="1"/>
        <c:lblAlgn val="ctr"/>
        <c:lblOffset val="100"/>
        <c:noMultiLvlLbl val="0"/>
      </c:catAx>
      <c:valAx>
        <c:axId val="825249760"/>
        <c:scaling>
          <c:orientation val="minMax"/>
        </c:scaling>
        <c:delete val="0"/>
        <c:axPos val="b"/>
        <c:majorGridlines/>
        <c:numFmt formatCode="&quot;$&quot;#,##0.00_);\(&quot;$&quot;#,##0.00\)" sourceLinked="1"/>
        <c:majorTickMark val="out"/>
        <c:minorTickMark val="none"/>
        <c:tickLblPos val="nextTo"/>
        <c:crossAx val="82524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Technic">
      <a:majorFont>
        <a:latin typeface="Franklin Gothic Book"/>
        <a:ea typeface=""/>
        <a:cs typeface=""/>
        <a:font script="Jpan" typeface="ＭＳ Ｐゴシック"/>
        <a:font script="Hang" typeface="HY견고딕"/>
        <a:font script="Hans" typeface="宋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HGｺﾞｼｯｸM"/>
        <a:font script="Hang" typeface="HY중고딕"/>
        <a:font script="Hans" typeface="黑体"/>
        <a:font script="Hant" typeface="微軟正黑體"/>
        <a:font script="Arab" typeface="Tahoma"/>
        <a:font script="Hebr" typeface="Levenim MT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3000"/>
                <a:satMod val="150000"/>
              </a:schemeClr>
            </a:gs>
            <a:gs pos="25000">
              <a:schemeClr val="phClr">
                <a:tint val="96000"/>
                <a:shade val="80000"/>
                <a:satMod val="105000"/>
              </a:schemeClr>
            </a:gs>
            <a:gs pos="38000">
              <a:schemeClr val="phClr">
                <a:tint val="96000"/>
                <a:shade val="59000"/>
                <a:satMod val="120000"/>
              </a:schemeClr>
            </a:gs>
            <a:gs pos="55000">
              <a:schemeClr val="phClr">
                <a:shade val="57000"/>
                <a:satMod val="120000"/>
              </a:schemeClr>
            </a:gs>
            <a:gs pos="80000">
              <a:schemeClr val="phClr">
                <a:shade val="56000"/>
                <a:satMod val="145000"/>
              </a:schemeClr>
            </a:gs>
            <a:gs pos="88000">
              <a:schemeClr val="phClr">
                <a:shade val="63000"/>
                <a:satMod val="160000"/>
              </a:schemeClr>
            </a:gs>
            <a:gs pos="100000">
              <a:schemeClr val="phClr">
                <a:tint val="99555"/>
                <a:satMod val="155000"/>
              </a:schemeClr>
            </a:gs>
          </a:gsLst>
          <a:lin ang="5400000" scaled="1"/>
        </a:gradFill>
      </a:fillStyleLst>
      <a:lnStyleLst>
        <a:ln w="952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60000" t="50000" r="4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tabSelected="1" zoomScaleNormal="100" workbookViewId="0">
      <selection activeCell="G16" sqref="G16"/>
    </sheetView>
  </sheetViews>
  <sheetFormatPr defaultRowHeight="14.25" x14ac:dyDescent="0.2"/>
  <cols>
    <col min="1" max="1" width="20.625" customWidth="1"/>
    <col min="2" max="7" width="12.625" customWidth="1"/>
  </cols>
  <sheetData>
    <row r="1" spans="1:7" ht="34.5" x14ac:dyDescent="0.45">
      <c r="A1" s="11" t="s">
        <v>15</v>
      </c>
      <c r="B1" s="12"/>
      <c r="C1" s="12"/>
      <c r="D1" s="12"/>
      <c r="E1" s="12"/>
      <c r="F1" s="12"/>
      <c r="G1" s="13"/>
    </row>
    <row r="2" spans="1:7" ht="24.75" thickBot="1" x14ac:dyDescent="0.45">
      <c r="A2" s="14" t="s">
        <v>16</v>
      </c>
      <c r="B2" s="15"/>
      <c r="C2" s="15"/>
      <c r="D2" s="15"/>
      <c r="E2" s="15"/>
      <c r="F2" s="15"/>
      <c r="G2" s="16"/>
    </row>
    <row r="3" spans="1:7" ht="36" customHeight="1" thickBot="1" x14ac:dyDescent="0.3">
      <c r="A3" s="10" t="s">
        <v>7</v>
      </c>
      <c r="B3" s="10" t="s">
        <v>8</v>
      </c>
      <c r="C3" s="10" t="s">
        <v>9</v>
      </c>
      <c r="D3" s="10" t="s">
        <v>10</v>
      </c>
      <c r="E3" s="10" t="s">
        <v>11</v>
      </c>
      <c r="F3" s="10" t="s">
        <v>12</v>
      </c>
      <c r="G3" s="10" t="s">
        <v>13</v>
      </c>
    </row>
    <row r="4" spans="1:7" ht="15" x14ac:dyDescent="0.2">
      <c r="A4" s="1" t="s">
        <v>6</v>
      </c>
      <c r="B4" s="7">
        <v>160.68</v>
      </c>
      <c r="C4" s="7">
        <v>18.7</v>
      </c>
      <c r="D4" s="7">
        <v>99.33</v>
      </c>
      <c r="E4" s="7">
        <v>68.28</v>
      </c>
      <c r="F4" s="7">
        <f>0.0325*(B4-C4-D4)</f>
        <v>1.3861250000000007</v>
      </c>
      <c r="G4" s="7">
        <f>B4+E4-C4-D4+F4</f>
        <v>112.31612500000003</v>
      </c>
    </row>
    <row r="5" spans="1:7" ht="15" x14ac:dyDescent="0.2">
      <c r="A5" s="3" t="s">
        <v>0</v>
      </c>
      <c r="B5" s="4">
        <v>138.11000000000001</v>
      </c>
      <c r="C5" s="4">
        <v>48.47</v>
      </c>
      <c r="D5" s="4">
        <v>75.81</v>
      </c>
      <c r="E5" s="4">
        <v>46.72</v>
      </c>
      <c r="F5" s="2">
        <f t="shared" ref="F5:F10" si="0">0.0325*(B5-C5-D5)</f>
        <v>0.4494750000000004</v>
      </c>
      <c r="G5" s="2">
        <f t="shared" ref="G5:G10" si="1">B5+E5-C5-D5+F5</f>
        <v>60.999475000000011</v>
      </c>
    </row>
    <row r="6" spans="1:7" ht="15" x14ac:dyDescent="0.2">
      <c r="A6" s="3" t="s">
        <v>1</v>
      </c>
      <c r="B6" s="4">
        <v>820.15</v>
      </c>
      <c r="C6" s="4">
        <v>32.11</v>
      </c>
      <c r="D6" s="4">
        <v>31.23</v>
      </c>
      <c r="E6" s="4">
        <v>406.58</v>
      </c>
      <c r="F6" s="2">
        <f t="shared" si="0"/>
        <v>24.596325</v>
      </c>
      <c r="G6" s="2">
        <f t="shared" si="1"/>
        <v>1187.9863250000001</v>
      </c>
    </row>
    <row r="7" spans="1:7" ht="15" x14ac:dyDescent="0.2">
      <c r="A7" s="3" t="s">
        <v>2</v>
      </c>
      <c r="B7" s="4">
        <v>167.35</v>
      </c>
      <c r="C7" s="4">
        <v>59.32</v>
      </c>
      <c r="D7" s="4">
        <v>52.91</v>
      </c>
      <c r="E7" s="4">
        <v>74.989999999999995</v>
      </c>
      <c r="F7" s="2">
        <f t="shared" si="0"/>
        <v>1.7914000000000001</v>
      </c>
      <c r="G7" s="2">
        <f t="shared" si="1"/>
        <v>131.9014</v>
      </c>
    </row>
    <row r="8" spans="1:7" ht="15" x14ac:dyDescent="0.2">
      <c r="A8" s="3" t="s">
        <v>3</v>
      </c>
      <c r="B8" s="4">
        <v>568.34</v>
      </c>
      <c r="C8" s="4">
        <v>55.17</v>
      </c>
      <c r="D8" s="4">
        <v>18.53</v>
      </c>
      <c r="E8" s="4">
        <v>36.340000000000003</v>
      </c>
      <c r="F8" s="2">
        <f t="shared" si="0"/>
        <v>16.075800000000005</v>
      </c>
      <c r="G8" s="2">
        <f t="shared" si="1"/>
        <v>547.05580000000009</v>
      </c>
    </row>
    <row r="9" spans="1:7" ht="15" x14ac:dyDescent="0.2">
      <c r="A9" s="3" t="s">
        <v>4</v>
      </c>
      <c r="B9" s="4">
        <v>449.92</v>
      </c>
      <c r="C9" s="4">
        <v>25.9</v>
      </c>
      <c r="D9" s="4">
        <v>82.05</v>
      </c>
      <c r="E9" s="4">
        <v>99.77</v>
      </c>
      <c r="F9" s="2">
        <f t="shared" si="0"/>
        <v>11.114025000000002</v>
      </c>
      <c r="G9" s="2">
        <f t="shared" si="1"/>
        <v>452.85402500000009</v>
      </c>
    </row>
    <row r="10" spans="1:7" ht="15" x14ac:dyDescent="0.2">
      <c r="A10" s="3" t="s">
        <v>5</v>
      </c>
      <c r="B10" s="4">
        <v>390.73</v>
      </c>
      <c r="C10" s="4">
        <v>48.12</v>
      </c>
      <c r="D10" s="4">
        <v>19.350000000000001</v>
      </c>
      <c r="E10" s="4">
        <v>92.13</v>
      </c>
      <c r="F10" s="2">
        <f t="shared" si="0"/>
        <v>10.50595</v>
      </c>
      <c r="G10" s="2">
        <f t="shared" si="1"/>
        <v>425.89594999999997</v>
      </c>
    </row>
    <row r="11" spans="1:7" ht="16.5" thickBot="1" x14ac:dyDescent="0.3">
      <c r="A11" s="5" t="s">
        <v>14</v>
      </c>
      <c r="B11" s="8">
        <f>SUM(B4:B10)</f>
        <v>2695.28</v>
      </c>
      <c r="C11" s="8">
        <f t="shared" ref="C11:E11" si="2">SUM(C4:C10)</f>
        <v>287.78999999999996</v>
      </c>
      <c r="D11" s="8">
        <f t="shared" si="2"/>
        <v>379.21</v>
      </c>
      <c r="E11" s="8">
        <f t="shared" si="2"/>
        <v>824.81</v>
      </c>
      <c r="F11" s="8">
        <f>SUM(F4:F10)</f>
        <v>65.9191</v>
      </c>
      <c r="G11" s="8">
        <f>SUM(G4:G10)</f>
        <v>2919.0091000000002</v>
      </c>
    </row>
    <row r="12" spans="1:7" ht="30" customHeight="1" thickTop="1" x14ac:dyDescent="0.25">
      <c r="A12" s="6" t="s">
        <v>17</v>
      </c>
      <c r="B12" s="9">
        <f>MAX(B4:B10)</f>
        <v>820.15</v>
      </c>
      <c r="C12" s="9">
        <f t="shared" ref="C12:E12" si="3">MAX(C4:C10)</f>
        <v>59.32</v>
      </c>
      <c r="D12" s="9">
        <f t="shared" si="3"/>
        <v>99.33</v>
      </c>
      <c r="E12" s="9">
        <f t="shared" si="3"/>
        <v>406.58</v>
      </c>
      <c r="F12" s="9">
        <f>MAX(F4:F10)</f>
        <v>24.596325</v>
      </c>
      <c r="G12" s="9">
        <f>MAX(G4:G10)</f>
        <v>1187.9863250000001</v>
      </c>
    </row>
    <row r="13" spans="1:7" ht="15.75" x14ac:dyDescent="0.25">
      <c r="A13" s="6" t="s">
        <v>18</v>
      </c>
      <c r="B13" s="9">
        <f>MIN(B4:B10)</f>
        <v>138.11000000000001</v>
      </c>
      <c r="C13" s="9">
        <f t="shared" ref="C13:E13" si="4">MIN(C4:C10)</f>
        <v>18.7</v>
      </c>
      <c r="D13" s="9">
        <f t="shared" si="4"/>
        <v>18.53</v>
      </c>
      <c r="E13" s="9">
        <f t="shared" si="4"/>
        <v>36.340000000000003</v>
      </c>
      <c r="F13" s="9">
        <f>MIN(F4:F10)</f>
        <v>0.4494750000000004</v>
      </c>
      <c r="G13" s="9">
        <f>MIN(G4:G10)</f>
        <v>60.999475000000011</v>
      </c>
    </row>
    <row r="14" spans="1:7" ht="15.75" x14ac:dyDescent="0.25">
      <c r="A14" s="6" t="s">
        <v>19</v>
      </c>
      <c r="B14" s="9">
        <f>AVERAGE(B4:B10)</f>
        <v>385.04</v>
      </c>
      <c r="C14" s="9">
        <f t="shared" ref="C14:E14" si="5">AVERAGE(C4:C10)</f>
        <v>41.112857142857138</v>
      </c>
      <c r="D14" s="9">
        <f t="shared" si="5"/>
        <v>54.17285714285714</v>
      </c>
      <c r="E14" s="9">
        <f t="shared" si="5"/>
        <v>117.83</v>
      </c>
      <c r="F14" s="9">
        <f>AVERAGE(F4:F10)</f>
        <v>9.417014285714286</v>
      </c>
      <c r="G14" s="9">
        <f>AVERAGE(G4:G10)</f>
        <v>417.00130000000001</v>
      </c>
    </row>
  </sheetData>
  <mergeCells count="2">
    <mergeCell ref="A1:G1"/>
    <mergeCell ref="A2:G2"/>
  </mergeCells>
  <conditionalFormatting sqref="C4:C10">
    <cfRule type="cellIs" dxfId="3" priority="1" operator="greaterThan">
      <formula>50</formula>
    </cfRule>
    <cfRule type="cellIs" dxfId="2" priority="2" operator="greaterThan">
      <formula>50</formula>
    </cfRule>
  </conditionalFormatting>
  <pageMargins left="0.25" right="0.25" top="0.75" bottom="0.75" header="0.3" footer="0.3"/>
  <pageSetup orientation="landscape" r:id="rId1"/>
  <headerFooter>
    <oddHeader>&amp;CLong Nguyen, MIS 105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Blance Due</vt:lpstr>
      <vt:lpstr>Sheet2</vt:lpstr>
      <vt:lpstr>Sheet3</vt:lpstr>
      <vt:lpstr>Bar Chart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terry.murray</dc:creator>
  <cp:lastModifiedBy>Long Nguyen</cp:lastModifiedBy>
  <dcterms:created xsi:type="dcterms:W3CDTF">2010-09-15T15:02:07Z</dcterms:created>
  <dcterms:modified xsi:type="dcterms:W3CDTF">2015-10-21T08:06:09Z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58810d16-d020-4d52-aca0-28127c3eb2b2</vt:lpwstr>
  </property>
</Properties>
</file>